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t\Dropbox\HEAnuevo\Cátedra\presentaciones nuevas\"/>
    </mc:Choice>
  </mc:AlternateContent>
  <xr:revisionPtr revIDLastSave="0" documentId="13_ncr:1_{FA7A26E6-09F0-447B-AF09-CD084774AD4D}" xr6:coauthVersionLast="38" xr6:coauthVersionMax="38" xr10:uidLastSave="{00000000-0000-0000-0000-000000000000}"/>
  <bookViews>
    <workbookView xWindow="0" yWindow="0" windowWidth="20490" windowHeight="6285" activeTab="2" xr2:uid="{2DDA7519-1489-45BC-B774-1BE2D667FCC0}"/>
  </bookViews>
  <sheets>
    <sheet name="Hoja1" sheetId="1" r:id="rId1"/>
    <sheet name="Hoja3" sheetId="3" r:id="rId2"/>
    <sheet name="Hoja2" sheetId="2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9" i="2" l="1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8" i="2"/>
  <c r="P9" i="2" l="1"/>
  <c r="Q9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P14" i="2"/>
  <c r="Q14" i="2"/>
  <c r="R14" i="2"/>
  <c r="P15" i="2"/>
  <c r="Q15" i="2"/>
  <c r="R15" i="2"/>
  <c r="P16" i="2"/>
  <c r="Q16" i="2"/>
  <c r="R16" i="2"/>
  <c r="P17" i="2"/>
  <c r="Q17" i="2"/>
  <c r="R17" i="2"/>
  <c r="P18" i="2"/>
  <c r="Q18" i="2"/>
  <c r="R18" i="2"/>
  <c r="P19" i="2"/>
  <c r="Q19" i="2"/>
  <c r="R19" i="2"/>
  <c r="P20" i="2"/>
  <c r="Q20" i="2"/>
  <c r="R20" i="2"/>
  <c r="P21" i="2"/>
  <c r="Q21" i="2"/>
  <c r="R21" i="2"/>
  <c r="P22" i="2"/>
  <c r="Q22" i="2"/>
  <c r="R22" i="2"/>
  <c r="P23" i="2"/>
  <c r="Q23" i="2"/>
  <c r="R23" i="2"/>
  <c r="P24" i="2"/>
  <c r="Q24" i="2"/>
  <c r="R24" i="2"/>
  <c r="P25" i="2"/>
  <c r="Q25" i="2"/>
  <c r="R25" i="2"/>
  <c r="P26" i="2"/>
  <c r="Q26" i="2"/>
  <c r="R26" i="2"/>
  <c r="P27" i="2"/>
  <c r="Q27" i="2"/>
  <c r="R27" i="2"/>
  <c r="P28" i="2"/>
  <c r="Q28" i="2"/>
  <c r="R28" i="2"/>
  <c r="P29" i="2"/>
  <c r="Q29" i="2"/>
  <c r="R29" i="2"/>
  <c r="P30" i="2"/>
  <c r="Q30" i="2"/>
  <c r="R30" i="2"/>
  <c r="P31" i="2"/>
  <c r="Q31" i="2"/>
  <c r="R31" i="2"/>
  <c r="P32" i="2"/>
  <c r="Q32" i="2"/>
  <c r="R32" i="2"/>
  <c r="P33" i="2"/>
  <c r="Q33" i="2"/>
  <c r="R33" i="2"/>
  <c r="P34" i="2"/>
  <c r="Q34" i="2"/>
  <c r="R34" i="2"/>
  <c r="P35" i="2"/>
  <c r="Q35" i="2"/>
  <c r="R35" i="2"/>
  <c r="P36" i="2"/>
  <c r="Q36" i="2"/>
  <c r="R36" i="2"/>
  <c r="P37" i="2"/>
  <c r="Q37" i="2"/>
  <c r="R37" i="2"/>
  <c r="P38" i="2"/>
  <c r="Q38" i="2"/>
  <c r="R38" i="2"/>
  <c r="P39" i="2"/>
  <c r="Q39" i="2"/>
  <c r="R39" i="2"/>
  <c r="P40" i="2"/>
  <c r="Q40" i="2"/>
  <c r="R40" i="2"/>
  <c r="P41" i="2"/>
  <c r="Q41" i="2"/>
  <c r="R41" i="2"/>
  <c r="P42" i="2"/>
  <c r="Q42" i="2"/>
  <c r="R42" i="2"/>
  <c r="P43" i="2"/>
  <c r="Q43" i="2"/>
  <c r="R43" i="2"/>
  <c r="P44" i="2"/>
  <c r="Q44" i="2"/>
  <c r="R44" i="2"/>
  <c r="P45" i="2"/>
  <c r="Q45" i="2"/>
  <c r="R45" i="2"/>
  <c r="P46" i="2"/>
  <c r="Q46" i="2"/>
  <c r="R46" i="2"/>
  <c r="P47" i="2"/>
  <c r="Q47" i="2"/>
  <c r="R47" i="2"/>
  <c r="P48" i="2"/>
  <c r="Q48" i="2"/>
  <c r="R48" i="2"/>
  <c r="P49" i="2"/>
  <c r="Q49" i="2"/>
  <c r="R49" i="2"/>
  <c r="P50" i="2"/>
  <c r="Q50" i="2"/>
  <c r="R50" i="2"/>
  <c r="P51" i="2"/>
  <c r="Q51" i="2"/>
  <c r="R51" i="2"/>
  <c r="P52" i="2"/>
  <c r="Q52" i="2"/>
  <c r="R52" i="2"/>
  <c r="P53" i="2"/>
  <c r="Q53" i="2"/>
  <c r="R53" i="2"/>
  <c r="P54" i="2"/>
  <c r="Q54" i="2"/>
  <c r="R54" i="2"/>
  <c r="P55" i="2"/>
  <c r="Q55" i="2"/>
  <c r="R55" i="2"/>
  <c r="P56" i="2"/>
  <c r="Q56" i="2"/>
  <c r="R56" i="2"/>
  <c r="P57" i="2"/>
  <c r="Q57" i="2"/>
  <c r="R57" i="2"/>
  <c r="P58" i="2"/>
  <c r="Q58" i="2"/>
  <c r="R58" i="2"/>
  <c r="P59" i="2"/>
  <c r="Q59" i="2"/>
  <c r="R59" i="2"/>
  <c r="P60" i="2"/>
  <c r="Q60" i="2"/>
  <c r="R60" i="2"/>
  <c r="P61" i="2"/>
  <c r="Q61" i="2"/>
  <c r="R61" i="2"/>
  <c r="P62" i="2"/>
  <c r="Q62" i="2"/>
  <c r="R62" i="2"/>
  <c r="P63" i="2"/>
  <c r="Q63" i="2"/>
  <c r="R63" i="2"/>
  <c r="P64" i="2"/>
  <c r="Q64" i="2"/>
  <c r="R64" i="2"/>
  <c r="P65" i="2"/>
  <c r="Q65" i="2"/>
  <c r="R65" i="2"/>
  <c r="P66" i="2"/>
  <c r="Q66" i="2"/>
  <c r="R66" i="2"/>
  <c r="P67" i="2"/>
  <c r="Q67" i="2"/>
  <c r="R67" i="2"/>
  <c r="P68" i="2"/>
  <c r="Q68" i="2"/>
  <c r="R68" i="2"/>
  <c r="P69" i="2"/>
  <c r="Q69" i="2"/>
  <c r="R69" i="2"/>
  <c r="P70" i="2"/>
  <c r="Q70" i="2"/>
  <c r="R70" i="2"/>
  <c r="P71" i="2"/>
  <c r="Q71" i="2"/>
  <c r="R71" i="2"/>
  <c r="P72" i="2"/>
  <c r="Q72" i="2"/>
  <c r="R72" i="2"/>
  <c r="P73" i="2"/>
  <c r="Q73" i="2"/>
  <c r="R73" i="2"/>
  <c r="P74" i="2"/>
  <c r="Q74" i="2"/>
  <c r="R74" i="2"/>
  <c r="P75" i="2"/>
  <c r="Q75" i="2"/>
  <c r="R75" i="2"/>
  <c r="P76" i="2"/>
  <c r="Q76" i="2"/>
  <c r="R76" i="2"/>
  <c r="P77" i="2"/>
  <c r="Q77" i="2"/>
  <c r="R77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85" i="2"/>
  <c r="Q85" i="2"/>
  <c r="R85" i="2"/>
  <c r="P86" i="2"/>
  <c r="Q86" i="2"/>
  <c r="R86" i="2"/>
  <c r="P87" i="2"/>
  <c r="Q87" i="2"/>
  <c r="R87" i="2"/>
  <c r="P88" i="2"/>
  <c r="Q88" i="2"/>
  <c r="R88" i="2"/>
  <c r="P89" i="2"/>
  <c r="Q89" i="2"/>
  <c r="R89" i="2"/>
  <c r="P90" i="2"/>
  <c r="Q90" i="2"/>
  <c r="R90" i="2"/>
  <c r="P91" i="2"/>
  <c r="Q91" i="2"/>
  <c r="R91" i="2"/>
  <c r="P92" i="2"/>
  <c r="Q92" i="2"/>
  <c r="R92" i="2"/>
  <c r="P93" i="2"/>
  <c r="Q93" i="2"/>
  <c r="R93" i="2"/>
  <c r="P94" i="2"/>
  <c r="Q94" i="2"/>
  <c r="R94" i="2"/>
  <c r="P95" i="2"/>
  <c r="Q95" i="2"/>
  <c r="R95" i="2"/>
  <c r="P96" i="2"/>
  <c r="Q96" i="2"/>
  <c r="R96" i="2"/>
  <c r="P97" i="2"/>
  <c r="Q97" i="2"/>
  <c r="R97" i="2"/>
  <c r="P98" i="2"/>
  <c r="Q98" i="2"/>
  <c r="R98" i="2"/>
  <c r="P99" i="2"/>
  <c r="Q99" i="2"/>
  <c r="R99" i="2"/>
  <c r="P100" i="2"/>
  <c r="Q100" i="2"/>
  <c r="R100" i="2"/>
  <c r="P101" i="2"/>
  <c r="Q101" i="2"/>
  <c r="R101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06" i="2"/>
  <c r="Q106" i="2"/>
  <c r="R106" i="2"/>
  <c r="P107" i="2"/>
  <c r="Q107" i="2"/>
  <c r="R107" i="2"/>
  <c r="P108" i="2"/>
  <c r="Q108" i="2"/>
  <c r="R108" i="2"/>
  <c r="P109" i="2"/>
  <c r="Q109" i="2"/>
  <c r="R109" i="2"/>
  <c r="P110" i="2"/>
  <c r="Q110" i="2"/>
  <c r="R110" i="2"/>
  <c r="P111" i="2"/>
  <c r="Q111" i="2"/>
  <c r="R111" i="2"/>
  <c r="P112" i="2"/>
  <c r="Q112" i="2"/>
  <c r="R112" i="2"/>
  <c r="P113" i="2"/>
  <c r="Q113" i="2"/>
  <c r="R113" i="2"/>
  <c r="P114" i="2"/>
  <c r="Q114" i="2"/>
  <c r="R114" i="2"/>
  <c r="P115" i="2"/>
  <c r="Q115" i="2"/>
  <c r="R115" i="2"/>
  <c r="P116" i="2"/>
  <c r="Q116" i="2"/>
  <c r="R116" i="2"/>
  <c r="P117" i="2"/>
  <c r="Q117" i="2"/>
  <c r="R117" i="2"/>
  <c r="P118" i="2"/>
  <c r="Q118" i="2"/>
  <c r="R118" i="2"/>
  <c r="P119" i="2"/>
  <c r="Q119" i="2"/>
  <c r="R119" i="2"/>
  <c r="P120" i="2"/>
  <c r="Q120" i="2"/>
  <c r="R120" i="2"/>
  <c r="P121" i="2"/>
  <c r="Q121" i="2"/>
  <c r="R121" i="2"/>
  <c r="P122" i="2"/>
  <c r="Q122" i="2"/>
  <c r="R122" i="2"/>
  <c r="P123" i="2"/>
  <c r="Q123" i="2"/>
  <c r="R123" i="2"/>
  <c r="P124" i="2"/>
  <c r="Q124" i="2"/>
  <c r="R124" i="2"/>
  <c r="P125" i="2"/>
  <c r="Q125" i="2"/>
  <c r="R125" i="2"/>
  <c r="P126" i="2"/>
  <c r="Q126" i="2"/>
  <c r="R126" i="2"/>
  <c r="P127" i="2"/>
  <c r="Q127" i="2"/>
  <c r="R127" i="2"/>
  <c r="P128" i="2"/>
  <c r="Q128" i="2"/>
  <c r="R128" i="2"/>
  <c r="P129" i="2"/>
  <c r="Q129" i="2"/>
  <c r="R129" i="2"/>
  <c r="P130" i="2"/>
  <c r="Q130" i="2"/>
  <c r="R130" i="2"/>
  <c r="P131" i="2"/>
  <c r="Q131" i="2"/>
  <c r="R131" i="2"/>
  <c r="P132" i="2"/>
  <c r="Q132" i="2"/>
  <c r="R132" i="2"/>
  <c r="P133" i="2"/>
  <c r="Q133" i="2"/>
  <c r="R133" i="2"/>
  <c r="P134" i="2"/>
  <c r="Q134" i="2"/>
  <c r="R134" i="2"/>
  <c r="P135" i="2"/>
  <c r="Q135" i="2"/>
  <c r="R135" i="2"/>
  <c r="P136" i="2"/>
  <c r="Q136" i="2"/>
  <c r="R136" i="2"/>
  <c r="P137" i="2"/>
  <c r="Q137" i="2"/>
  <c r="R137" i="2"/>
  <c r="P138" i="2"/>
  <c r="Q138" i="2"/>
  <c r="R138" i="2"/>
  <c r="P139" i="2"/>
  <c r="Q139" i="2"/>
  <c r="R139" i="2"/>
  <c r="P140" i="2"/>
  <c r="Q140" i="2"/>
  <c r="R140" i="2"/>
  <c r="P141" i="2"/>
  <c r="Q141" i="2"/>
  <c r="R141" i="2"/>
  <c r="P142" i="2"/>
  <c r="Q142" i="2"/>
  <c r="R142" i="2"/>
  <c r="P143" i="2"/>
  <c r="Q143" i="2"/>
  <c r="R143" i="2"/>
  <c r="P144" i="2"/>
  <c r="Q144" i="2"/>
  <c r="R144" i="2"/>
  <c r="P145" i="2"/>
  <c r="Q145" i="2"/>
  <c r="R145" i="2"/>
  <c r="P146" i="2"/>
  <c r="Q146" i="2"/>
  <c r="R146" i="2"/>
  <c r="P147" i="2"/>
  <c r="Q147" i="2"/>
  <c r="R147" i="2"/>
  <c r="P148" i="2"/>
  <c r="Q148" i="2"/>
  <c r="R148" i="2"/>
  <c r="P149" i="2"/>
  <c r="Q149" i="2"/>
  <c r="R149" i="2"/>
  <c r="P150" i="2"/>
  <c r="Q150" i="2"/>
  <c r="R150" i="2"/>
  <c r="P151" i="2"/>
  <c r="Q151" i="2"/>
  <c r="R151" i="2"/>
  <c r="P152" i="2"/>
  <c r="Q152" i="2"/>
  <c r="R152" i="2"/>
  <c r="P153" i="2"/>
  <c r="Q153" i="2"/>
  <c r="R153" i="2"/>
  <c r="P154" i="2"/>
  <c r="Q154" i="2"/>
  <c r="R154" i="2"/>
  <c r="P155" i="2"/>
  <c r="Q155" i="2"/>
  <c r="R155" i="2"/>
  <c r="P156" i="2"/>
  <c r="Q156" i="2"/>
  <c r="R156" i="2"/>
  <c r="P157" i="2"/>
  <c r="Q157" i="2"/>
  <c r="R157" i="2"/>
  <c r="P158" i="2"/>
  <c r="Q158" i="2"/>
  <c r="R158" i="2"/>
  <c r="P159" i="2"/>
  <c r="Q159" i="2"/>
  <c r="R159" i="2"/>
  <c r="P160" i="2"/>
  <c r="Q160" i="2"/>
  <c r="R160" i="2"/>
  <c r="P161" i="2"/>
  <c r="Q161" i="2"/>
  <c r="R161" i="2"/>
  <c r="P162" i="2"/>
  <c r="Q162" i="2"/>
  <c r="R162" i="2"/>
  <c r="P163" i="2"/>
  <c r="Q163" i="2"/>
  <c r="R163" i="2"/>
  <c r="P164" i="2"/>
  <c r="Q164" i="2"/>
  <c r="R164" i="2"/>
  <c r="P165" i="2"/>
  <c r="Q165" i="2"/>
  <c r="R165" i="2"/>
  <c r="P166" i="2"/>
  <c r="Q166" i="2"/>
  <c r="R166" i="2"/>
  <c r="P167" i="2"/>
  <c r="Q167" i="2"/>
  <c r="R167" i="2"/>
  <c r="P168" i="2"/>
  <c r="Q168" i="2"/>
  <c r="R168" i="2"/>
  <c r="P169" i="2"/>
  <c r="Q169" i="2"/>
  <c r="R169" i="2"/>
  <c r="P170" i="2"/>
  <c r="Q170" i="2"/>
  <c r="R170" i="2"/>
  <c r="P171" i="2"/>
  <c r="Q171" i="2"/>
  <c r="R171" i="2"/>
  <c r="P172" i="2"/>
  <c r="Q172" i="2"/>
  <c r="R172" i="2"/>
  <c r="P173" i="2"/>
  <c r="Q173" i="2"/>
  <c r="R173" i="2"/>
  <c r="P174" i="2"/>
  <c r="Q174" i="2"/>
  <c r="R174" i="2"/>
  <c r="P175" i="2"/>
  <c r="Q175" i="2"/>
  <c r="R175" i="2"/>
  <c r="P176" i="2"/>
  <c r="Q176" i="2"/>
  <c r="R176" i="2"/>
  <c r="P177" i="2"/>
  <c r="Q177" i="2"/>
  <c r="R177" i="2"/>
  <c r="P178" i="2"/>
  <c r="Q178" i="2"/>
  <c r="R178" i="2"/>
  <c r="P179" i="2"/>
  <c r="Q179" i="2"/>
  <c r="R179" i="2"/>
  <c r="P180" i="2"/>
  <c r="Q180" i="2"/>
  <c r="R180" i="2"/>
  <c r="P181" i="2"/>
  <c r="Q181" i="2"/>
  <c r="R181" i="2"/>
  <c r="P182" i="2"/>
  <c r="Q182" i="2"/>
  <c r="R182" i="2"/>
  <c r="P183" i="2"/>
  <c r="Q183" i="2"/>
  <c r="R183" i="2"/>
  <c r="P184" i="2"/>
  <c r="Q184" i="2"/>
  <c r="R184" i="2"/>
  <c r="P185" i="2"/>
  <c r="Q185" i="2"/>
  <c r="R185" i="2"/>
  <c r="P186" i="2"/>
  <c r="Q186" i="2"/>
  <c r="R186" i="2"/>
  <c r="P187" i="2"/>
  <c r="Q187" i="2"/>
  <c r="R187" i="2"/>
  <c r="P188" i="2"/>
  <c r="Q188" i="2"/>
  <c r="R188" i="2"/>
  <c r="P189" i="2"/>
  <c r="Q189" i="2"/>
  <c r="R189" i="2"/>
  <c r="P190" i="2"/>
  <c r="Q190" i="2"/>
  <c r="R190" i="2"/>
  <c r="P191" i="2"/>
  <c r="Q191" i="2"/>
  <c r="R191" i="2"/>
  <c r="P192" i="2"/>
  <c r="Q192" i="2"/>
  <c r="R192" i="2"/>
  <c r="P193" i="2"/>
  <c r="Q193" i="2"/>
  <c r="R193" i="2"/>
  <c r="P194" i="2"/>
  <c r="Q194" i="2"/>
  <c r="R194" i="2"/>
  <c r="P195" i="2"/>
  <c r="Q195" i="2"/>
  <c r="R195" i="2"/>
  <c r="P196" i="2"/>
  <c r="Q196" i="2"/>
  <c r="R196" i="2"/>
  <c r="P197" i="2"/>
  <c r="Q197" i="2"/>
  <c r="R197" i="2"/>
  <c r="P198" i="2"/>
  <c r="Q198" i="2"/>
  <c r="R198" i="2"/>
  <c r="P199" i="2"/>
  <c r="Q199" i="2"/>
  <c r="R199" i="2"/>
  <c r="P200" i="2"/>
  <c r="Q200" i="2"/>
  <c r="R200" i="2"/>
  <c r="P201" i="2"/>
  <c r="Q201" i="2"/>
  <c r="R201" i="2"/>
  <c r="P202" i="2"/>
  <c r="Q202" i="2"/>
  <c r="R202" i="2"/>
  <c r="P203" i="2"/>
  <c r="Q203" i="2"/>
  <c r="R203" i="2"/>
  <c r="P204" i="2"/>
  <c r="Q204" i="2"/>
  <c r="R204" i="2"/>
  <c r="P205" i="2"/>
  <c r="Q205" i="2"/>
  <c r="R205" i="2"/>
  <c r="P206" i="2"/>
  <c r="Q206" i="2"/>
  <c r="R206" i="2"/>
  <c r="P207" i="2"/>
  <c r="Q207" i="2"/>
  <c r="R207" i="2"/>
  <c r="P208" i="2"/>
  <c r="Q208" i="2"/>
  <c r="R208" i="2"/>
  <c r="P209" i="2"/>
  <c r="Q209" i="2"/>
  <c r="R209" i="2"/>
  <c r="P210" i="2"/>
  <c r="Q210" i="2"/>
  <c r="R210" i="2"/>
  <c r="P211" i="2"/>
  <c r="Q211" i="2"/>
  <c r="R211" i="2"/>
  <c r="P212" i="2"/>
  <c r="Q212" i="2"/>
  <c r="R212" i="2"/>
  <c r="P213" i="2"/>
  <c r="Q213" i="2"/>
  <c r="R213" i="2"/>
  <c r="P214" i="2"/>
  <c r="Q214" i="2"/>
  <c r="R214" i="2"/>
  <c r="P215" i="2"/>
  <c r="Q215" i="2"/>
  <c r="R215" i="2"/>
  <c r="P216" i="2"/>
  <c r="Q216" i="2"/>
  <c r="R216" i="2"/>
  <c r="P217" i="2"/>
  <c r="Q217" i="2"/>
  <c r="R217" i="2"/>
  <c r="P218" i="2"/>
  <c r="Q218" i="2"/>
  <c r="R218" i="2"/>
  <c r="P219" i="2"/>
  <c r="Q219" i="2"/>
  <c r="R219" i="2"/>
  <c r="P220" i="2"/>
  <c r="Q220" i="2"/>
  <c r="R220" i="2"/>
  <c r="P221" i="2"/>
  <c r="Q221" i="2"/>
  <c r="R221" i="2"/>
  <c r="P222" i="2"/>
  <c r="Q222" i="2"/>
  <c r="R222" i="2"/>
  <c r="P223" i="2"/>
  <c r="Q223" i="2"/>
  <c r="R223" i="2"/>
  <c r="P224" i="2"/>
  <c r="Q224" i="2"/>
  <c r="R224" i="2"/>
  <c r="P225" i="2"/>
  <c r="Q225" i="2"/>
  <c r="R225" i="2"/>
  <c r="P226" i="2"/>
  <c r="Q226" i="2"/>
  <c r="R226" i="2"/>
  <c r="P227" i="2"/>
  <c r="Q227" i="2"/>
  <c r="R227" i="2"/>
  <c r="P228" i="2"/>
  <c r="Q228" i="2"/>
  <c r="R228" i="2"/>
  <c r="P229" i="2"/>
  <c r="Q229" i="2"/>
  <c r="R229" i="2"/>
  <c r="P230" i="2"/>
  <c r="Q230" i="2"/>
  <c r="R230" i="2"/>
  <c r="P231" i="2"/>
  <c r="Q231" i="2"/>
  <c r="R231" i="2"/>
  <c r="P232" i="2"/>
  <c r="Q232" i="2"/>
  <c r="R232" i="2"/>
  <c r="P233" i="2"/>
  <c r="Q233" i="2"/>
  <c r="R233" i="2"/>
  <c r="P234" i="2"/>
  <c r="Q234" i="2"/>
  <c r="R234" i="2"/>
  <c r="P235" i="2"/>
  <c r="Q235" i="2"/>
  <c r="R235" i="2"/>
  <c r="P236" i="2"/>
  <c r="Q236" i="2"/>
  <c r="R236" i="2"/>
  <c r="P237" i="2"/>
  <c r="Q237" i="2"/>
  <c r="R237" i="2"/>
  <c r="P238" i="2"/>
  <c r="Q238" i="2"/>
  <c r="R238" i="2"/>
  <c r="P239" i="2"/>
  <c r="Q239" i="2"/>
  <c r="R239" i="2"/>
  <c r="P240" i="2"/>
  <c r="Q240" i="2"/>
  <c r="R240" i="2"/>
  <c r="P241" i="2"/>
  <c r="Q241" i="2"/>
  <c r="R241" i="2"/>
  <c r="P242" i="2"/>
  <c r="Q242" i="2"/>
  <c r="R242" i="2"/>
  <c r="P243" i="2"/>
  <c r="Q243" i="2"/>
  <c r="R243" i="2"/>
  <c r="P244" i="2"/>
  <c r="Q244" i="2"/>
  <c r="R244" i="2"/>
  <c r="P245" i="2"/>
  <c r="Q245" i="2"/>
  <c r="R245" i="2"/>
  <c r="P246" i="2"/>
  <c r="Q246" i="2"/>
  <c r="R246" i="2"/>
  <c r="P247" i="2"/>
  <c r="Q247" i="2"/>
  <c r="R247" i="2"/>
  <c r="P248" i="2"/>
  <c r="Q248" i="2"/>
  <c r="R248" i="2"/>
  <c r="P249" i="2"/>
  <c r="Q249" i="2"/>
  <c r="R249" i="2"/>
  <c r="P250" i="2"/>
  <c r="Q250" i="2"/>
  <c r="R250" i="2"/>
  <c r="P251" i="2"/>
  <c r="Q251" i="2"/>
  <c r="R251" i="2"/>
  <c r="P252" i="2"/>
  <c r="Q252" i="2"/>
  <c r="R252" i="2"/>
  <c r="P253" i="2"/>
  <c r="Q253" i="2"/>
  <c r="R253" i="2"/>
  <c r="P254" i="2"/>
  <c r="Q254" i="2"/>
  <c r="R254" i="2"/>
  <c r="P255" i="2"/>
  <c r="Q255" i="2"/>
  <c r="R255" i="2"/>
  <c r="P256" i="2"/>
  <c r="Q256" i="2"/>
  <c r="R256" i="2"/>
  <c r="P257" i="2"/>
  <c r="Q257" i="2"/>
  <c r="R257" i="2"/>
  <c r="P258" i="2"/>
  <c r="Q258" i="2"/>
  <c r="R258" i="2"/>
  <c r="P259" i="2"/>
  <c r="Q259" i="2"/>
  <c r="R259" i="2"/>
  <c r="Q8" i="2"/>
  <c r="R8" i="2"/>
  <c r="P8" i="2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8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J184" i="2"/>
  <c r="I213" i="2"/>
  <c r="I217" i="2"/>
  <c r="I221" i="2"/>
  <c r="I225" i="2"/>
  <c r="I229" i="2"/>
  <c r="I233" i="2"/>
  <c r="I237" i="2"/>
  <c r="I241" i="2"/>
  <c r="I245" i="2"/>
  <c r="I249" i="2"/>
  <c r="I253" i="2"/>
  <c r="I257" i="2"/>
  <c r="AY44" i="2"/>
  <c r="I44" i="2" s="1"/>
  <c r="AY131" i="2"/>
  <c r="I131" i="2" s="1"/>
  <c r="AY134" i="2"/>
  <c r="I134" i="2" s="1"/>
  <c r="AY135" i="2"/>
  <c r="I135" i="2" s="1"/>
  <c r="AY139" i="2"/>
  <c r="I139" i="2" s="1"/>
  <c r="AY142" i="2"/>
  <c r="I142" i="2" s="1"/>
  <c r="AY143" i="2"/>
  <c r="I143" i="2" s="1"/>
  <c r="AY146" i="2"/>
  <c r="I146" i="2" s="1"/>
  <c r="AY147" i="2"/>
  <c r="I147" i="2" s="1"/>
  <c r="AY150" i="2"/>
  <c r="I150" i="2" s="1"/>
  <c r="AY151" i="2"/>
  <c r="I151" i="2" s="1"/>
  <c r="AY154" i="2"/>
  <c r="I154" i="2" s="1"/>
  <c r="AY155" i="2"/>
  <c r="I155" i="2" s="1"/>
  <c r="AY158" i="2"/>
  <c r="I158" i="2" s="1"/>
  <c r="AY159" i="2"/>
  <c r="I159" i="2" s="1"/>
  <c r="AY162" i="2"/>
  <c r="I162" i="2" s="1"/>
  <c r="AY163" i="2"/>
  <c r="I163" i="2" s="1"/>
  <c r="AY166" i="2"/>
  <c r="I166" i="2" s="1"/>
  <c r="AY167" i="2"/>
  <c r="I167" i="2" s="1"/>
  <c r="AY170" i="2"/>
  <c r="I170" i="2" s="1"/>
  <c r="AY171" i="2"/>
  <c r="I171" i="2" s="1"/>
  <c r="AY174" i="2"/>
  <c r="I174" i="2" s="1"/>
  <c r="AY175" i="2"/>
  <c r="I175" i="2" s="1"/>
  <c r="AY178" i="2"/>
  <c r="I178" i="2" s="1"/>
  <c r="AY179" i="2"/>
  <c r="I179" i="2" s="1"/>
  <c r="AY182" i="2"/>
  <c r="I182" i="2" s="1"/>
  <c r="AY183" i="2"/>
  <c r="I183" i="2" s="1"/>
  <c r="AY186" i="2"/>
  <c r="I186" i="2" s="1"/>
  <c r="AY187" i="2"/>
  <c r="I187" i="2" s="1"/>
  <c r="AY190" i="2"/>
  <c r="I190" i="2" s="1"/>
  <c r="AY191" i="2"/>
  <c r="I191" i="2" s="1"/>
  <c r="AY194" i="2"/>
  <c r="I194" i="2" s="1"/>
  <c r="AY195" i="2"/>
  <c r="I195" i="2" s="1"/>
  <c r="AY198" i="2"/>
  <c r="I198" i="2" s="1"/>
  <c r="AY199" i="2"/>
  <c r="I199" i="2" s="1"/>
  <c r="AY202" i="2"/>
  <c r="I202" i="2" s="1"/>
  <c r="AY203" i="2"/>
  <c r="I203" i="2" s="1"/>
  <c r="AY206" i="2"/>
  <c r="I206" i="2" s="1"/>
  <c r="AY207" i="2"/>
  <c r="I207" i="2" s="1"/>
  <c r="AY210" i="2"/>
  <c r="I210" i="2" s="1"/>
  <c r="AY211" i="2"/>
  <c r="I211" i="2" s="1"/>
  <c r="AY214" i="2"/>
  <c r="I214" i="2" s="1"/>
  <c r="AY215" i="2"/>
  <c r="I215" i="2" s="1"/>
  <c r="AY218" i="2"/>
  <c r="I218" i="2" s="1"/>
  <c r="AY219" i="2"/>
  <c r="I219" i="2" s="1"/>
  <c r="AY222" i="2"/>
  <c r="I222" i="2" s="1"/>
  <c r="AY223" i="2"/>
  <c r="I223" i="2" s="1"/>
  <c r="AY226" i="2"/>
  <c r="I226" i="2" s="1"/>
  <c r="AY227" i="2"/>
  <c r="I227" i="2" s="1"/>
  <c r="AY230" i="2"/>
  <c r="I230" i="2" s="1"/>
  <c r="AY231" i="2"/>
  <c r="I231" i="2" s="1"/>
  <c r="AY234" i="2"/>
  <c r="I234" i="2" s="1"/>
  <c r="AY235" i="2"/>
  <c r="I235" i="2" s="1"/>
  <c r="AY238" i="2"/>
  <c r="I238" i="2" s="1"/>
  <c r="AY239" i="2"/>
  <c r="I239" i="2" s="1"/>
  <c r="AY242" i="2"/>
  <c r="I242" i="2" s="1"/>
  <c r="AY243" i="2"/>
  <c r="I243" i="2" s="1"/>
  <c r="AY246" i="2"/>
  <c r="I246" i="2" s="1"/>
  <c r="AY247" i="2"/>
  <c r="I247" i="2" s="1"/>
  <c r="AY250" i="2"/>
  <c r="I250" i="2" s="1"/>
  <c r="AY251" i="2"/>
  <c r="I251" i="2" s="1"/>
  <c r="AY254" i="2"/>
  <c r="I254" i="2" s="1"/>
  <c r="AY255" i="2"/>
  <c r="I255" i="2" s="1"/>
  <c r="AY258" i="2"/>
  <c r="I258" i="2" s="1"/>
  <c r="AY259" i="2"/>
  <c r="I259" i="2" s="1"/>
  <c r="BC32" i="2"/>
  <c r="AX140" i="2"/>
  <c r="AY140" i="2" s="1"/>
  <c r="I140" i="2" s="1"/>
  <c r="AX141" i="2"/>
  <c r="AY141" i="2" s="1"/>
  <c r="I141" i="2" s="1"/>
  <c r="AX142" i="2"/>
  <c r="AX143" i="2"/>
  <c r="AX144" i="2"/>
  <c r="AY144" i="2" s="1"/>
  <c r="I144" i="2" s="1"/>
  <c r="AX145" i="2"/>
  <c r="AY145" i="2" s="1"/>
  <c r="I145" i="2" s="1"/>
  <c r="AX146" i="2"/>
  <c r="AX147" i="2"/>
  <c r="AX148" i="2"/>
  <c r="AY148" i="2" s="1"/>
  <c r="I148" i="2" s="1"/>
  <c r="J148" i="2" s="1"/>
  <c r="AX149" i="2"/>
  <c r="AY149" i="2" s="1"/>
  <c r="I149" i="2" s="1"/>
  <c r="AX150" i="2"/>
  <c r="AX151" i="2"/>
  <c r="AX152" i="2"/>
  <c r="AY152" i="2" s="1"/>
  <c r="I152" i="2" s="1"/>
  <c r="J152" i="2" s="1"/>
  <c r="AX153" i="2"/>
  <c r="AY153" i="2" s="1"/>
  <c r="I153" i="2" s="1"/>
  <c r="AX154" i="2"/>
  <c r="AX155" i="2"/>
  <c r="AX156" i="2"/>
  <c r="AY156" i="2" s="1"/>
  <c r="I156" i="2" s="1"/>
  <c r="AX157" i="2"/>
  <c r="AY157" i="2" s="1"/>
  <c r="I157" i="2" s="1"/>
  <c r="AX158" i="2"/>
  <c r="AX159" i="2"/>
  <c r="AX160" i="2"/>
  <c r="AY160" i="2" s="1"/>
  <c r="I160" i="2" s="1"/>
  <c r="AX161" i="2"/>
  <c r="AY161" i="2" s="1"/>
  <c r="I161" i="2" s="1"/>
  <c r="AX162" i="2"/>
  <c r="AX163" i="2"/>
  <c r="AX164" i="2"/>
  <c r="AY164" i="2" s="1"/>
  <c r="I164" i="2" s="1"/>
  <c r="J164" i="2" s="1"/>
  <c r="AX165" i="2"/>
  <c r="AY165" i="2" s="1"/>
  <c r="I165" i="2" s="1"/>
  <c r="AX166" i="2"/>
  <c r="AX167" i="2"/>
  <c r="AX168" i="2"/>
  <c r="AY168" i="2" s="1"/>
  <c r="I168" i="2" s="1"/>
  <c r="J168" i="2" s="1"/>
  <c r="AX169" i="2"/>
  <c r="AY169" i="2" s="1"/>
  <c r="I169" i="2" s="1"/>
  <c r="AX170" i="2"/>
  <c r="AX171" i="2"/>
  <c r="AX172" i="2"/>
  <c r="AY172" i="2" s="1"/>
  <c r="I172" i="2" s="1"/>
  <c r="AX173" i="2"/>
  <c r="AY173" i="2" s="1"/>
  <c r="I173" i="2" s="1"/>
  <c r="AX174" i="2"/>
  <c r="AX175" i="2"/>
  <c r="AX176" i="2"/>
  <c r="AY176" i="2" s="1"/>
  <c r="I176" i="2" s="1"/>
  <c r="AX177" i="2"/>
  <c r="AY177" i="2" s="1"/>
  <c r="I177" i="2" s="1"/>
  <c r="AX178" i="2"/>
  <c r="AX179" i="2"/>
  <c r="AX180" i="2"/>
  <c r="AY180" i="2" s="1"/>
  <c r="I180" i="2" s="1"/>
  <c r="J180" i="2" s="1"/>
  <c r="AX181" i="2"/>
  <c r="AY181" i="2" s="1"/>
  <c r="I181" i="2" s="1"/>
  <c r="AX182" i="2"/>
  <c r="AX183" i="2"/>
  <c r="AX184" i="2"/>
  <c r="AY184" i="2" s="1"/>
  <c r="I184" i="2" s="1"/>
  <c r="AX185" i="2"/>
  <c r="AY185" i="2" s="1"/>
  <c r="I185" i="2" s="1"/>
  <c r="AX186" i="2"/>
  <c r="AX187" i="2"/>
  <c r="AX188" i="2"/>
  <c r="AY188" i="2" s="1"/>
  <c r="I188" i="2" s="1"/>
  <c r="AX189" i="2"/>
  <c r="AY189" i="2" s="1"/>
  <c r="I189" i="2" s="1"/>
  <c r="AX190" i="2"/>
  <c r="AX191" i="2"/>
  <c r="AX192" i="2"/>
  <c r="AY192" i="2" s="1"/>
  <c r="I192" i="2" s="1"/>
  <c r="AX193" i="2"/>
  <c r="AY193" i="2" s="1"/>
  <c r="I193" i="2" s="1"/>
  <c r="AX194" i="2"/>
  <c r="AX195" i="2"/>
  <c r="AX196" i="2"/>
  <c r="AY196" i="2" s="1"/>
  <c r="I196" i="2" s="1"/>
  <c r="J196" i="2" s="1"/>
  <c r="AX197" i="2"/>
  <c r="AY197" i="2" s="1"/>
  <c r="I197" i="2" s="1"/>
  <c r="AX198" i="2"/>
  <c r="AX199" i="2"/>
  <c r="AX200" i="2"/>
  <c r="AY200" i="2" s="1"/>
  <c r="I200" i="2" s="1"/>
  <c r="J200" i="2" s="1"/>
  <c r="AX201" i="2"/>
  <c r="AY201" i="2" s="1"/>
  <c r="I201" i="2" s="1"/>
  <c r="AX202" i="2"/>
  <c r="AX203" i="2"/>
  <c r="AX204" i="2"/>
  <c r="AY204" i="2" s="1"/>
  <c r="I204" i="2" s="1"/>
  <c r="AX205" i="2"/>
  <c r="AY205" i="2" s="1"/>
  <c r="I205" i="2" s="1"/>
  <c r="AX206" i="2"/>
  <c r="AX207" i="2"/>
  <c r="AX208" i="2"/>
  <c r="AY208" i="2" s="1"/>
  <c r="I208" i="2" s="1"/>
  <c r="AX209" i="2"/>
  <c r="AY209" i="2" s="1"/>
  <c r="I209" i="2" s="1"/>
  <c r="AX210" i="2"/>
  <c r="AX211" i="2"/>
  <c r="AX212" i="2"/>
  <c r="AY212" i="2" s="1"/>
  <c r="I212" i="2" s="1"/>
  <c r="J212" i="2" s="1"/>
  <c r="AX213" i="2"/>
  <c r="AY213" i="2" s="1"/>
  <c r="AX214" i="2"/>
  <c r="AX215" i="2"/>
  <c r="AX216" i="2"/>
  <c r="AY216" i="2" s="1"/>
  <c r="I216" i="2" s="1"/>
  <c r="J216" i="2" s="1"/>
  <c r="AX217" i="2"/>
  <c r="AY217" i="2" s="1"/>
  <c r="AX218" i="2"/>
  <c r="AX219" i="2"/>
  <c r="AX220" i="2"/>
  <c r="AY220" i="2" s="1"/>
  <c r="I220" i="2" s="1"/>
  <c r="AX221" i="2"/>
  <c r="AY221" i="2" s="1"/>
  <c r="AX222" i="2"/>
  <c r="AX223" i="2"/>
  <c r="AX224" i="2"/>
  <c r="AY224" i="2" s="1"/>
  <c r="I224" i="2" s="1"/>
  <c r="AX225" i="2"/>
  <c r="AY225" i="2" s="1"/>
  <c r="AX226" i="2"/>
  <c r="AX227" i="2"/>
  <c r="AX228" i="2"/>
  <c r="AY228" i="2" s="1"/>
  <c r="I228" i="2" s="1"/>
  <c r="J228" i="2" s="1"/>
  <c r="AX229" i="2"/>
  <c r="AY229" i="2" s="1"/>
  <c r="AX230" i="2"/>
  <c r="AX231" i="2"/>
  <c r="AX232" i="2"/>
  <c r="AY232" i="2" s="1"/>
  <c r="I232" i="2" s="1"/>
  <c r="J232" i="2" s="1"/>
  <c r="AX233" i="2"/>
  <c r="AY233" i="2" s="1"/>
  <c r="AX234" i="2"/>
  <c r="AX235" i="2"/>
  <c r="AX236" i="2"/>
  <c r="AY236" i="2" s="1"/>
  <c r="I236" i="2" s="1"/>
  <c r="AX237" i="2"/>
  <c r="AY237" i="2" s="1"/>
  <c r="AX238" i="2"/>
  <c r="AX239" i="2"/>
  <c r="AX240" i="2"/>
  <c r="AY240" i="2" s="1"/>
  <c r="I240" i="2" s="1"/>
  <c r="AX241" i="2"/>
  <c r="AY241" i="2" s="1"/>
  <c r="AX242" i="2"/>
  <c r="AX243" i="2"/>
  <c r="AX244" i="2"/>
  <c r="AY244" i="2" s="1"/>
  <c r="I244" i="2" s="1"/>
  <c r="J244" i="2" s="1"/>
  <c r="AX245" i="2"/>
  <c r="AY245" i="2" s="1"/>
  <c r="AX246" i="2"/>
  <c r="AX247" i="2"/>
  <c r="AX248" i="2"/>
  <c r="AY248" i="2" s="1"/>
  <c r="I248" i="2" s="1"/>
  <c r="J248" i="2" s="1"/>
  <c r="AX249" i="2"/>
  <c r="AY249" i="2" s="1"/>
  <c r="AX250" i="2"/>
  <c r="AX251" i="2"/>
  <c r="AX252" i="2"/>
  <c r="AY252" i="2" s="1"/>
  <c r="I252" i="2" s="1"/>
  <c r="AX253" i="2"/>
  <c r="AY253" i="2" s="1"/>
  <c r="AX254" i="2"/>
  <c r="AX255" i="2"/>
  <c r="AX256" i="2"/>
  <c r="AY256" i="2" s="1"/>
  <c r="I256" i="2" s="1"/>
  <c r="AX257" i="2"/>
  <c r="AY257" i="2" s="1"/>
  <c r="AX258" i="2"/>
  <c r="AX259" i="2"/>
  <c r="AX129" i="2"/>
  <c r="AY129" i="2" s="1"/>
  <c r="I129" i="2" s="1"/>
  <c r="AX130" i="2"/>
  <c r="AY130" i="2" s="1"/>
  <c r="I130" i="2" s="1"/>
  <c r="AX131" i="2"/>
  <c r="AX132" i="2"/>
  <c r="AY132" i="2" s="1"/>
  <c r="I132" i="2" s="1"/>
  <c r="J132" i="2" s="1"/>
  <c r="AX133" i="2"/>
  <c r="AY133" i="2" s="1"/>
  <c r="I133" i="2" s="1"/>
  <c r="AX134" i="2"/>
  <c r="AX135" i="2"/>
  <c r="AX136" i="2"/>
  <c r="AY136" i="2" s="1"/>
  <c r="I136" i="2" s="1"/>
  <c r="J136" i="2" s="1"/>
  <c r="AX137" i="2"/>
  <c r="AY137" i="2" s="1"/>
  <c r="I137" i="2" s="1"/>
  <c r="AX138" i="2"/>
  <c r="AY138" i="2" s="1"/>
  <c r="I138" i="2" s="1"/>
  <c r="AX139" i="2"/>
  <c r="AX128" i="2"/>
  <c r="AY128" i="2" s="1"/>
  <c r="I128" i="2" s="1"/>
  <c r="AX116" i="2"/>
  <c r="AY116" i="2" s="1"/>
  <c r="I116" i="2" s="1"/>
  <c r="J116" i="2" s="1"/>
  <c r="AX117" i="2"/>
  <c r="AY117" i="2" s="1"/>
  <c r="I117" i="2" s="1"/>
  <c r="AX118" i="2"/>
  <c r="AY118" i="2" s="1"/>
  <c r="I118" i="2" s="1"/>
  <c r="AX119" i="2"/>
  <c r="AY119" i="2" s="1"/>
  <c r="I119" i="2" s="1"/>
  <c r="AX120" i="2"/>
  <c r="AY120" i="2" s="1"/>
  <c r="I120" i="2" s="1"/>
  <c r="J120" i="2" s="1"/>
  <c r="AX121" i="2"/>
  <c r="AY121" i="2" s="1"/>
  <c r="I121" i="2" s="1"/>
  <c r="AX122" i="2"/>
  <c r="AY122" i="2" s="1"/>
  <c r="I122" i="2" s="1"/>
  <c r="AX123" i="2"/>
  <c r="AY123" i="2" s="1"/>
  <c r="I123" i="2" s="1"/>
  <c r="AX124" i="2"/>
  <c r="AY124" i="2" s="1"/>
  <c r="I124" i="2" s="1"/>
  <c r="AX125" i="2"/>
  <c r="AY125" i="2" s="1"/>
  <c r="I125" i="2" s="1"/>
  <c r="AX126" i="2"/>
  <c r="AY126" i="2" s="1"/>
  <c r="I126" i="2" s="1"/>
  <c r="AX127" i="2"/>
  <c r="AY127" i="2" s="1"/>
  <c r="I127" i="2" s="1"/>
  <c r="AX104" i="2"/>
  <c r="AY104" i="2" s="1"/>
  <c r="I104" i="2" s="1"/>
  <c r="J104" i="2" s="1"/>
  <c r="AX105" i="2"/>
  <c r="AY105" i="2" s="1"/>
  <c r="I105" i="2" s="1"/>
  <c r="AX106" i="2"/>
  <c r="AY106" i="2" s="1"/>
  <c r="I106" i="2" s="1"/>
  <c r="AX107" i="2"/>
  <c r="AY107" i="2" s="1"/>
  <c r="I107" i="2" s="1"/>
  <c r="AX108" i="2"/>
  <c r="AY108" i="2" s="1"/>
  <c r="I108" i="2" s="1"/>
  <c r="AX109" i="2"/>
  <c r="AY109" i="2" s="1"/>
  <c r="I109" i="2" s="1"/>
  <c r="AX110" i="2"/>
  <c r="AY110" i="2" s="1"/>
  <c r="I110" i="2" s="1"/>
  <c r="AX111" i="2"/>
  <c r="AY111" i="2" s="1"/>
  <c r="I111" i="2" s="1"/>
  <c r="AX112" i="2"/>
  <c r="AY112" i="2" s="1"/>
  <c r="I112" i="2" s="1"/>
  <c r="AX113" i="2"/>
  <c r="AY113" i="2" s="1"/>
  <c r="I113" i="2" s="1"/>
  <c r="AX114" i="2"/>
  <c r="AY114" i="2" s="1"/>
  <c r="I114" i="2" s="1"/>
  <c r="AX115" i="2"/>
  <c r="AY115" i="2" s="1"/>
  <c r="I115" i="2" s="1"/>
  <c r="AX103" i="2"/>
  <c r="AY103" i="2" s="1"/>
  <c r="I103" i="2" s="1"/>
  <c r="AX92" i="2"/>
  <c r="AY92" i="2" s="1"/>
  <c r="I92" i="2" s="1"/>
  <c r="AX93" i="2"/>
  <c r="AY93" i="2" s="1"/>
  <c r="I93" i="2" s="1"/>
  <c r="AX94" i="2"/>
  <c r="AY94" i="2" s="1"/>
  <c r="I94" i="2" s="1"/>
  <c r="AX95" i="2"/>
  <c r="AY95" i="2" s="1"/>
  <c r="I95" i="2" s="1"/>
  <c r="AX96" i="2"/>
  <c r="AY96" i="2" s="1"/>
  <c r="I96" i="2" s="1"/>
  <c r="AX97" i="2"/>
  <c r="AY97" i="2" s="1"/>
  <c r="I97" i="2" s="1"/>
  <c r="AX98" i="2"/>
  <c r="AY98" i="2" s="1"/>
  <c r="I98" i="2" s="1"/>
  <c r="AX99" i="2"/>
  <c r="AY99" i="2" s="1"/>
  <c r="I99" i="2" s="1"/>
  <c r="AX100" i="2"/>
  <c r="AY100" i="2" s="1"/>
  <c r="I100" i="2" s="1"/>
  <c r="J100" i="2" s="1"/>
  <c r="AX101" i="2"/>
  <c r="AY101" i="2" s="1"/>
  <c r="I101" i="2" s="1"/>
  <c r="AX102" i="2"/>
  <c r="AY102" i="2" s="1"/>
  <c r="I102" i="2" s="1"/>
  <c r="AX80" i="2"/>
  <c r="AY80" i="2" s="1"/>
  <c r="I80" i="2" s="1"/>
  <c r="AX81" i="2"/>
  <c r="AY81" i="2" s="1"/>
  <c r="I81" i="2" s="1"/>
  <c r="AX82" i="2"/>
  <c r="AY82" i="2" s="1"/>
  <c r="I82" i="2" s="1"/>
  <c r="AX83" i="2"/>
  <c r="AY83" i="2" s="1"/>
  <c r="I83" i="2" s="1"/>
  <c r="AX84" i="2"/>
  <c r="AY84" i="2" s="1"/>
  <c r="I84" i="2" s="1"/>
  <c r="J84" i="2" s="1"/>
  <c r="AX85" i="2"/>
  <c r="AY85" i="2" s="1"/>
  <c r="I85" i="2" s="1"/>
  <c r="AX86" i="2"/>
  <c r="AY86" i="2" s="1"/>
  <c r="I86" i="2" s="1"/>
  <c r="AX87" i="2"/>
  <c r="AY87" i="2" s="1"/>
  <c r="I87" i="2" s="1"/>
  <c r="AX88" i="2"/>
  <c r="AY88" i="2" s="1"/>
  <c r="I88" i="2" s="1"/>
  <c r="J88" i="2" s="1"/>
  <c r="AX89" i="2"/>
  <c r="AY89" i="2" s="1"/>
  <c r="I89" i="2" s="1"/>
  <c r="AX90" i="2"/>
  <c r="AY90" i="2" s="1"/>
  <c r="I90" i="2" s="1"/>
  <c r="AX91" i="2"/>
  <c r="AY91" i="2" s="1"/>
  <c r="I91" i="2" s="1"/>
  <c r="AX69" i="2"/>
  <c r="AY69" i="2" s="1"/>
  <c r="I69" i="2" s="1"/>
  <c r="AX70" i="2"/>
  <c r="AY70" i="2" s="1"/>
  <c r="I70" i="2" s="1"/>
  <c r="AX71" i="2"/>
  <c r="AY71" i="2" s="1"/>
  <c r="I71" i="2" s="1"/>
  <c r="AX72" i="2"/>
  <c r="AY72" i="2" s="1"/>
  <c r="I72" i="2" s="1"/>
  <c r="J72" i="2" s="1"/>
  <c r="AX73" i="2"/>
  <c r="AY73" i="2" s="1"/>
  <c r="I73" i="2" s="1"/>
  <c r="AX74" i="2"/>
  <c r="AY74" i="2" s="1"/>
  <c r="I74" i="2" s="1"/>
  <c r="AX75" i="2"/>
  <c r="AY75" i="2" s="1"/>
  <c r="I75" i="2" s="1"/>
  <c r="AX76" i="2"/>
  <c r="AY76" i="2" s="1"/>
  <c r="I76" i="2" s="1"/>
  <c r="AX77" i="2"/>
  <c r="AY77" i="2" s="1"/>
  <c r="I77" i="2" s="1"/>
  <c r="AX78" i="2"/>
  <c r="AY78" i="2" s="1"/>
  <c r="I78" i="2" s="1"/>
  <c r="AX79" i="2"/>
  <c r="AY79" i="2" s="1"/>
  <c r="I79" i="2" s="1"/>
  <c r="AX68" i="2"/>
  <c r="AY68" i="2" s="1"/>
  <c r="I68" i="2" s="1"/>
  <c r="J68" i="2" s="1"/>
  <c r="AX56" i="2"/>
  <c r="AY56" i="2" s="1"/>
  <c r="I56" i="2" s="1"/>
  <c r="J56" i="2" s="1"/>
  <c r="AX57" i="2"/>
  <c r="AY57" i="2" s="1"/>
  <c r="I57" i="2" s="1"/>
  <c r="AX58" i="2"/>
  <c r="AY58" i="2" s="1"/>
  <c r="I58" i="2" s="1"/>
  <c r="AX59" i="2"/>
  <c r="AY59" i="2" s="1"/>
  <c r="I59" i="2" s="1"/>
  <c r="AX60" i="2"/>
  <c r="AY60" i="2" s="1"/>
  <c r="I60" i="2" s="1"/>
  <c r="AX61" i="2"/>
  <c r="AY61" i="2" s="1"/>
  <c r="I61" i="2" s="1"/>
  <c r="AX62" i="2"/>
  <c r="AY62" i="2" s="1"/>
  <c r="I62" i="2" s="1"/>
  <c r="AX63" i="2"/>
  <c r="AY63" i="2" s="1"/>
  <c r="I63" i="2" s="1"/>
  <c r="AX64" i="2"/>
  <c r="AY64" i="2" s="1"/>
  <c r="I64" i="2" s="1"/>
  <c r="AX65" i="2"/>
  <c r="AY65" i="2" s="1"/>
  <c r="I65" i="2" s="1"/>
  <c r="AX66" i="2"/>
  <c r="AY66" i="2" s="1"/>
  <c r="I66" i="2" s="1"/>
  <c r="AX67" i="2"/>
  <c r="AY67" i="2" s="1"/>
  <c r="I67" i="2" s="1"/>
  <c r="AX45" i="2"/>
  <c r="AY45" i="2" s="1"/>
  <c r="I45" i="2" s="1"/>
  <c r="AX46" i="2"/>
  <c r="AY46" i="2" s="1"/>
  <c r="I46" i="2" s="1"/>
  <c r="AX47" i="2"/>
  <c r="AY47" i="2" s="1"/>
  <c r="I47" i="2" s="1"/>
  <c r="AX48" i="2"/>
  <c r="AY48" i="2" s="1"/>
  <c r="I48" i="2" s="1"/>
  <c r="AX49" i="2"/>
  <c r="AY49" i="2" s="1"/>
  <c r="I49" i="2" s="1"/>
  <c r="AX50" i="2"/>
  <c r="AY50" i="2" s="1"/>
  <c r="I50" i="2" s="1"/>
  <c r="AX51" i="2"/>
  <c r="AY51" i="2" s="1"/>
  <c r="I51" i="2" s="1"/>
  <c r="AX52" i="2"/>
  <c r="AY52" i="2" s="1"/>
  <c r="I52" i="2" s="1"/>
  <c r="J52" i="2" s="1"/>
  <c r="AX53" i="2"/>
  <c r="AY53" i="2" s="1"/>
  <c r="I53" i="2" s="1"/>
  <c r="AX54" i="2"/>
  <c r="AY54" i="2" s="1"/>
  <c r="I54" i="2" s="1"/>
  <c r="AX55" i="2"/>
  <c r="AY55" i="2" s="1"/>
  <c r="I55" i="2" s="1"/>
  <c r="AX44" i="2"/>
  <c r="BC43" i="2"/>
  <c r="BC55" i="2"/>
  <c r="BC67" i="2"/>
  <c r="BC79" i="2"/>
  <c r="BC91" i="2"/>
  <c r="BC103" i="2"/>
  <c r="BC115" i="2"/>
  <c r="BC127" i="2"/>
  <c r="BC139" i="2"/>
  <c r="BC151" i="2"/>
  <c r="BC152" i="2"/>
  <c r="BC153" i="2"/>
  <c r="BC154" i="2"/>
  <c r="BC155" i="2"/>
  <c r="BC156" i="2"/>
  <c r="BC157" i="2"/>
  <c r="BC158" i="2"/>
  <c r="BC159" i="2"/>
  <c r="BC160" i="2"/>
  <c r="BC19" i="2"/>
  <c r="AX9" i="2"/>
  <c r="AY9" i="2" s="1"/>
  <c r="I9" i="2" s="1"/>
  <c r="AX10" i="2"/>
  <c r="AY10" i="2" s="1"/>
  <c r="I10" i="2" s="1"/>
  <c r="AX11" i="2"/>
  <c r="AY11" i="2" s="1"/>
  <c r="I11" i="2" s="1"/>
  <c r="AX12" i="2"/>
  <c r="AY12" i="2" s="1"/>
  <c r="I12" i="2" s="1"/>
  <c r="AX13" i="2"/>
  <c r="AY13" i="2" s="1"/>
  <c r="I13" i="2" s="1"/>
  <c r="AX14" i="2"/>
  <c r="AY14" i="2" s="1"/>
  <c r="I14" i="2" s="1"/>
  <c r="AX15" i="2"/>
  <c r="AY15" i="2" s="1"/>
  <c r="I15" i="2" s="1"/>
  <c r="AX16" i="2"/>
  <c r="AY16" i="2" s="1"/>
  <c r="I16" i="2" s="1"/>
  <c r="AX17" i="2"/>
  <c r="AY17" i="2" s="1"/>
  <c r="I17" i="2" s="1"/>
  <c r="AX18" i="2"/>
  <c r="AY18" i="2" s="1"/>
  <c r="I18" i="2" s="1"/>
  <c r="AX19" i="2"/>
  <c r="AY19" i="2" s="1"/>
  <c r="I19" i="2" s="1"/>
  <c r="AX20" i="2"/>
  <c r="AY20" i="2" s="1"/>
  <c r="I20" i="2" s="1"/>
  <c r="J20" i="2" s="1"/>
  <c r="AX21" i="2"/>
  <c r="AY21" i="2" s="1"/>
  <c r="I21" i="2" s="1"/>
  <c r="AX22" i="2"/>
  <c r="AY22" i="2" s="1"/>
  <c r="I22" i="2" s="1"/>
  <c r="AX23" i="2"/>
  <c r="AY23" i="2" s="1"/>
  <c r="I23" i="2" s="1"/>
  <c r="AX24" i="2"/>
  <c r="AY24" i="2" s="1"/>
  <c r="I24" i="2" s="1"/>
  <c r="J24" i="2" s="1"/>
  <c r="AX25" i="2"/>
  <c r="AY25" i="2" s="1"/>
  <c r="I25" i="2" s="1"/>
  <c r="AX26" i="2"/>
  <c r="AY26" i="2" s="1"/>
  <c r="I26" i="2" s="1"/>
  <c r="AX27" i="2"/>
  <c r="AY27" i="2" s="1"/>
  <c r="I27" i="2" s="1"/>
  <c r="AX28" i="2"/>
  <c r="AY28" i="2" s="1"/>
  <c r="I28" i="2" s="1"/>
  <c r="AX29" i="2"/>
  <c r="AY29" i="2" s="1"/>
  <c r="I29" i="2" s="1"/>
  <c r="AX30" i="2"/>
  <c r="AY30" i="2" s="1"/>
  <c r="I30" i="2" s="1"/>
  <c r="AX31" i="2"/>
  <c r="AY31" i="2" s="1"/>
  <c r="I31" i="2" s="1"/>
  <c r="AX32" i="2"/>
  <c r="AY32" i="2" s="1"/>
  <c r="I32" i="2" s="1"/>
  <c r="AX33" i="2"/>
  <c r="AY33" i="2" s="1"/>
  <c r="I33" i="2" s="1"/>
  <c r="AX34" i="2"/>
  <c r="AY34" i="2" s="1"/>
  <c r="I34" i="2" s="1"/>
  <c r="AX35" i="2"/>
  <c r="AY35" i="2" s="1"/>
  <c r="I35" i="2" s="1"/>
  <c r="AX36" i="2"/>
  <c r="AY36" i="2" s="1"/>
  <c r="I36" i="2" s="1"/>
  <c r="J36" i="2" s="1"/>
  <c r="AX37" i="2"/>
  <c r="AY37" i="2" s="1"/>
  <c r="I37" i="2" s="1"/>
  <c r="AX38" i="2"/>
  <c r="AY38" i="2" s="1"/>
  <c r="I38" i="2" s="1"/>
  <c r="AX39" i="2"/>
  <c r="AY39" i="2" s="1"/>
  <c r="I39" i="2" s="1"/>
  <c r="AX40" i="2"/>
  <c r="AY40" i="2" s="1"/>
  <c r="I40" i="2" s="1"/>
  <c r="J40" i="2" s="1"/>
  <c r="AX41" i="2"/>
  <c r="AY41" i="2" s="1"/>
  <c r="I41" i="2" s="1"/>
  <c r="AX42" i="2"/>
  <c r="AY42" i="2" s="1"/>
  <c r="I42" i="2" s="1"/>
  <c r="AX43" i="2"/>
  <c r="AY43" i="2" s="1"/>
  <c r="I43" i="2" s="1"/>
  <c r="AX8" i="2"/>
  <c r="AY8" i="2" s="1"/>
  <c r="I8" i="2" s="1"/>
  <c r="J8" i="2" s="1"/>
  <c r="H9" i="2"/>
  <c r="J9" i="2" s="1"/>
  <c r="H10" i="2"/>
  <c r="J10" i="2" s="1"/>
  <c r="H11" i="2"/>
  <c r="J11" i="2" s="1"/>
  <c r="H12" i="2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H21" i="2"/>
  <c r="J21" i="2" s="1"/>
  <c r="H22" i="2"/>
  <c r="J22" i="2" s="1"/>
  <c r="H23" i="2"/>
  <c r="J23" i="2" s="1"/>
  <c r="H24" i="2"/>
  <c r="H25" i="2"/>
  <c r="J25" i="2" s="1"/>
  <c r="H26" i="2"/>
  <c r="J26" i="2" s="1"/>
  <c r="H27" i="2"/>
  <c r="J27" i="2" s="1"/>
  <c r="H28" i="2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H37" i="2"/>
  <c r="J37" i="2" s="1"/>
  <c r="H38" i="2"/>
  <c r="J38" i="2" s="1"/>
  <c r="H39" i="2"/>
  <c r="J39" i="2" s="1"/>
  <c r="H40" i="2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52" i="2"/>
  <c r="H53" i="2"/>
  <c r="J53" i="2" s="1"/>
  <c r="H54" i="2"/>
  <c r="J54" i="2" s="1"/>
  <c r="H55" i="2"/>
  <c r="J55" i="2" s="1"/>
  <c r="H56" i="2"/>
  <c r="H57" i="2"/>
  <c r="J57" i="2" s="1"/>
  <c r="H58" i="2"/>
  <c r="H59" i="2"/>
  <c r="H60" i="2"/>
  <c r="H61" i="2"/>
  <c r="J61" i="2" s="1"/>
  <c r="H62" i="2"/>
  <c r="H63" i="2"/>
  <c r="H64" i="2"/>
  <c r="H65" i="2"/>
  <c r="J65" i="2" s="1"/>
  <c r="H66" i="2"/>
  <c r="H67" i="2"/>
  <c r="H68" i="2"/>
  <c r="H69" i="2"/>
  <c r="J69" i="2" s="1"/>
  <c r="H70" i="2"/>
  <c r="J70" i="2" s="1"/>
  <c r="H71" i="2"/>
  <c r="J71" i="2" s="1"/>
  <c r="H72" i="2"/>
  <c r="H73" i="2"/>
  <c r="J73" i="2" s="1"/>
  <c r="H74" i="2"/>
  <c r="J74" i="2" s="1"/>
  <c r="H75" i="2"/>
  <c r="J75" i="2" s="1"/>
  <c r="H76" i="2"/>
  <c r="H77" i="2"/>
  <c r="J77" i="2" s="1"/>
  <c r="H78" i="2"/>
  <c r="J78" i="2" s="1"/>
  <c r="H79" i="2"/>
  <c r="J79" i="2" s="1"/>
  <c r="H80" i="2"/>
  <c r="H81" i="2"/>
  <c r="J81" i="2" s="1"/>
  <c r="H82" i="2"/>
  <c r="H83" i="2"/>
  <c r="H84" i="2"/>
  <c r="H85" i="2"/>
  <c r="J85" i="2" s="1"/>
  <c r="H86" i="2"/>
  <c r="H87" i="2"/>
  <c r="H88" i="2"/>
  <c r="H89" i="2"/>
  <c r="J89" i="2" s="1"/>
  <c r="H90" i="2"/>
  <c r="H91" i="2"/>
  <c r="H92" i="2"/>
  <c r="H93" i="2"/>
  <c r="H94" i="2"/>
  <c r="H95" i="2"/>
  <c r="H96" i="2"/>
  <c r="J96" i="2" s="1"/>
  <c r="H97" i="2"/>
  <c r="H98" i="2"/>
  <c r="H99" i="2"/>
  <c r="H100" i="2"/>
  <c r="H101" i="2"/>
  <c r="H102" i="2"/>
  <c r="H103" i="2"/>
  <c r="H104" i="2"/>
  <c r="H105" i="2"/>
  <c r="J105" i="2" s="1"/>
  <c r="H106" i="2"/>
  <c r="H107" i="2"/>
  <c r="H108" i="2"/>
  <c r="H109" i="2"/>
  <c r="J109" i="2" s="1"/>
  <c r="H110" i="2"/>
  <c r="H111" i="2"/>
  <c r="H112" i="2"/>
  <c r="H113" i="2"/>
  <c r="J113" i="2" s="1"/>
  <c r="H114" i="2"/>
  <c r="H115" i="2"/>
  <c r="H116" i="2"/>
  <c r="H117" i="2"/>
  <c r="J117" i="2" s="1"/>
  <c r="H118" i="2"/>
  <c r="H119" i="2"/>
  <c r="H120" i="2"/>
  <c r="H121" i="2"/>
  <c r="J121" i="2" s="1"/>
  <c r="H122" i="2"/>
  <c r="H123" i="2"/>
  <c r="H124" i="2"/>
  <c r="H125" i="2"/>
  <c r="J125" i="2" s="1"/>
  <c r="H126" i="2"/>
  <c r="H127" i="2"/>
  <c r="H128" i="2"/>
  <c r="H129" i="2"/>
  <c r="J129" i="2" s="1"/>
  <c r="H130" i="2"/>
  <c r="H131" i="2"/>
  <c r="J131" i="2" s="1"/>
  <c r="H132" i="2"/>
  <c r="H133" i="2"/>
  <c r="J133" i="2" s="1"/>
  <c r="H134" i="2"/>
  <c r="H135" i="2"/>
  <c r="H136" i="2"/>
  <c r="H137" i="2"/>
  <c r="J137" i="2" s="1"/>
  <c r="H138" i="2"/>
  <c r="H139" i="2"/>
  <c r="J139" i="2" s="1"/>
  <c r="H140" i="2"/>
  <c r="H141" i="2"/>
  <c r="J141" i="2" s="1"/>
  <c r="H142" i="2"/>
  <c r="H143" i="2"/>
  <c r="H144" i="2"/>
  <c r="H145" i="2"/>
  <c r="J145" i="2" s="1"/>
  <c r="H146" i="2"/>
  <c r="J146" i="2" s="1"/>
  <c r="H147" i="2"/>
  <c r="J147" i="2" s="1"/>
  <c r="H148" i="2"/>
  <c r="H149" i="2"/>
  <c r="J149" i="2" s="1"/>
  <c r="H150" i="2"/>
  <c r="H151" i="2"/>
  <c r="H152" i="2"/>
  <c r="H153" i="2"/>
  <c r="J153" i="2" s="1"/>
  <c r="H154" i="2"/>
  <c r="J154" i="2" s="1"/>
  <c r="H155" i="2"/>
  <c r="J155" i="2" s="1"/>
  <c r="H156" i="2"/>
  <c r="H157" i="2"/>
  <c r="J157" i="2" s="1"/>
  <c r="H158" i="2"/>
  <c r="H159" i="2"/>
  <c r="H160" i="2"/>
  <c r="H161" i="2"/>
  <c r="J161" i="2" s="1"/>
  <c r="H162" i="2"/>
  <c r="J162" i="2" s="1"/>
  <c r="H163" i="2"/>
  <c r="J163" i="2" s="1"/>
  <c r="H164" i="2"/>
  <c r="H165" i="2"/>
  <c r="J165" i="2" s="1"/>
  <c r="H166" i="2"/>
  <c r="H167" i="2"/>
  <c r="H168" i="2"/>
  <c r="H169" i="2"/>
  <c r="J169" i="2" s="1"/>
  <c r="H170" i="2"/>
  <c r="J170" i="2" s="1"/>
  <c r="H171" i="2"/>
  <c r="J171" i="2" s="1"/>
  <c r="H172" i="2"/>
  <c r="H173" i="2"/>
  <c r="J173" i="2" s="1"/>
  <c r="H174" i="2"/>
  <c r="H175" i="2"/>
  <c r="H176" i="2"/>
  <c r="H177" i="2"/>
  <c r="J177" i="2" s="1"/>
  <c r="H178" i="2"/>
  <c r="J178" i="2" s="1"/>
  <c r="H179" i="2"/>
  <c r="J179" i="2" s="1"/>
  <c r="H180" i="2"/>
  <c r="H181" i="2"/>
  <c r="J181" i="2" s="1"/>
  <c r="H182" i="2"/>
  <c r="H183" i="2"/>
  <c r="H184" i="2"/>
  <c r="H185" i="2"/>
  <c r="J185" i="2" s="1"/>
  <c r="H186" i="2"/>
  <c r="J186" i="2" s="1"/>
  <c r="H187" i="2"/>
  <c r="J187" i="2" s="1"/>
  <c r="H188" i="2"/>
  <c r="H189" i="2"/>
  <c r="J189" i="2" s="1"/>
  <c r="H190" i="2"/>
  <c r="H191" i="2"/>
  <c r="H192" i="2"/>
  <c r="H193" i="2"/>
  <c r="J193" i="2" s="1"/>
  <c r="H194" i="2"/>
  <c r="J194" i="2" s="1"/>
  <c r="H195" i="2"/>
  <c r="J195" i="2" s="1"/>
  <c r="H196" i="2"/>
  <c r="H197" i="2"/>
  <c r="J197" i="2" s="1"/>
  <c r="H198" i="2"/>
  <c r="H199" i="2"/>
  <c r="H200" i="2"/>
  <c r="H201" i="2"/>
  <c r="J201" i="2" s="1"/>
  <c r="H202" i="2"/>
  <c r="J202" i="2" s="1"/>
  <c r="H203" i="2"/>
  <c r="J203" i="2" s="1"/>
  <c r="H204" i="2"/>
  <c r="H205" i="2"/>
  <c r="J205" i="2" s="1"/>
  <c r="H206" i="2"/>
  <c r="H207" i="2"/>
  <c r="H208" i="2"/>
  <c r="H209" i="2"/>
  <c r="J209" i="2" s="1"/>
  <c r="H210" i="2"/>
  <c r="J210" i="2" s="1"/>
  <c r="H211" i="2"/>
  <c r="J211" i="2" s="1"/>
  <c r="H212" i="2"/>
  <c r="H213" i="2"/>
  <c r="J213" i="2" s="1"/>
  <c r="H214" i="2"/>
  <c r="H215" i="2"/>
  <c r="H216" i="2"/>
  <c r="H217" i="2"/>
  <c r="J217" i="2" s="1"/>
  <c r="H218" i="2"/>
  <c r="J218" i="2" s="1"/>
  <c r="H219" i="2"/>
  <c r="J219" i="2" s="1"/>
  <c r="H220" i="2"/>
  <c r="H221" i="2"/>
  <c r="J221" i="2" s="1"/>
  <c r="H222" i="2"/>
  <c r="H223" i="2"/>
  <c r="H224" i="2"/>
  <c r="H225" i="2"/>
  <c r="J225" i="2" s="1"/>
  <c r="H226" i="2"/>
  <c r="J226" i="2" s="1"/>
  <c r="H227" i="2"/>
  <c r="J227" i="2" s="1"/>
  <c r="H228" i="2"/>
  <c r="H229" i="2"/>
  <c r="J229" i="2" s="1"/>
  <c r="H230" i="2"/>
  <c r="H231" i="2"/>
  <c r="H232" i="2"/>
  <c r="H233" i="2"/>
  <c r="J233" i="2" s="1"/>
  <c r="H234" i="2"/>
  <c r="J234" i="2" s="1"/>
  <c r="H235" i="2"/>
  <c r="J235" i="2" s="1"/>
  <c r="H236" i="2"/>
  <c r="H237" i="2"/>
  <c r="J237" i="2" s="1"/>
  <c r="H238" i="2"/>
  <c r="H239" i="2"/>
  <c r="H240" i="2"/>
  <c r="H241" i="2"/>
  <c r="J241" i="2" s="1"/>
  <c r="H242" i="2"/>
  <c r="J242" i="2" s="1"/>
  <c r="H243" i="2"/>
  <c r="J243" i="2" s="1"/>
  <c r="H244" i="2"/>
  <c r="H245" i="2"/>
  <c r="J245" i="2" s="1"/>
  <c r="H246" i="2"/>
  <c r="H247" i="2"/>
  <c r="H248" i="2"/>
  <c r="H249" i="2"/>
  <c r="J249" i="2" s="1"/>
  <c r="H250" i="2"/>
  <c r="J250" i="2" s="1"/>
  <c r="H251" i="2"/>
  <c r="J251" i="2" s="1"/>
  <c r="H252" i="2"/>
  <c r="H253" i="2"/>
  <c r="J253" i="2" s="1"/>
  <c r="H254" i="2"/>
  <c r="H255" i="2"/>
  <c r="H256" i="2"/>
  <c r="H257" i="2"/>
  <c r="J257" i="2" s="1"/>
  <c r="H258" i="2"/>
  <c r="J258" i="2" s="1"/>
  <c r="H259" i="2"/>
  <c r="J259" i="2" s="1"/>
  <c r="H8" i="2"/>
  <c r="J126" i="2" l="1"/>
  <c r="J122" i="2"/>
  <c r="J118" i="2"/>
  <c r="J114" i="2"/>
  <c r="J110" i="2"/>
  <c r="J106" i="2"/>
  <c r="J90" i="2"/>
  <c r="J86" i="2"/>
  <c r="J82" i="2"/>
  <c r="J66" i="2"/>
  <c r="J62" i="2"/>
  <c r="J58" i="2"/>
  <c r="J101" i="2"/>
  <c r="J97" i="2"/>
  <c r="J93" i="2"/>
  <c r="J127" i="2"/>
  <c r="J123" i="2"/>
  <c r="J119" i="2"/>
  <c r="J115" i="2"/>
  <c r="J111" i="2"/>
  <c r="J107" i="2"/>
  <c r="J91" i="2"/>
  <c r="J87" i="2"/>
  <c r="J83" i="2"/>
  <c r="J67" i="2"/>
  <c r="J63" i="2"/>
  <c r="J59" i="2"/>
  <c r="J12" i="2"/>
  <c r="J102" i="2"/>
  <c r="J98" i="2"/>
  <c r="J94" i="2"/>
  <c r="J76" i="2"/>
  <c r="J247" i="2"/>
  <c r="J254" i="2"/>
  <c r="J246" i="2"/>
  <c r="J238" i="2"/>
  <c r="J230" i="2"/>
  <c r="J222" i="2"/>
  <c r="J214" i="2"/>
  <c r="J206" i="2"/>
  <c r="J198" i="2"/>
  <c r="J190" i="2"/>
  <c r="J182" i="2"/>
  <c r="J174" i="2"/>
  <c r="J166" i="2"/>
  <c r="J158" i="2"/>
  <c r="J150" i="2"/>
  <c r="J142" i="2"/>
  <c r="J138" i="2"/>
  <c r="J134" i="2"/>
  <c r="J130" i="2"/>
  <c r="J256" i="2"/>
  <c r="J252" i="2"/>
  <c r="J240" i="2"/>
  <c r="J236" i="2"/>
  <c r="J224" i="2"/>
  <c r="J220" i="2"/>
  <c r="J208" i="2"/>
  <c r="J204" i="2"/>
  <c r="J192" i="2"/>
  <c r="J188" i="2"/>
  <c r="J176" i="2"/>
  <c r="J172" i="2"/>
  <c r="J160" i="2"/>
  <c r="J156" i="2"/>
  <c r="J144" i="2"/>
  <c r="J140" i="2"/>
  <c r="J128" i="2"/>
  <c r="J124" i="2"/>
  <c r="J112" i="2"/>
  <c r="J108" i="2"/>
  <c r="J92" i="2"/>
  <c r="J80" i="2"/>
  <c r="J64" i="2"/>
  <c r="J60" i="2"/>
  <c r="J28" i="2"/>
  <c r="J255" i="2"/>
  <c r="J239" i="2"/>
  <c r="J231" i="2"/>
  <c r="J223" i="2"/>
  <c r="J215" i="2"/>
  <c r="J207" i="2"/>
  <c r="J199" i="2"/>
  <c r="J191" i="2"/>
  <c r="J183" i="2"/>
  <c r="J175" i="2"/>
  <c r="J167" i="2"/>
  <c r="J159" i="2"/>
  <c r="J151" i="2"/>
  <c r="J143" i="2"/>
  <c r="J135" i="2"/>
  <c r="J103" i="2"/>
  <c r="J99" i="2"/>
  <c r="J95" i="2"/>
</calcChain>
</file>

<file path=xl/sharedStrings.xml><?xml version="1.0" encoding="utf-8"?>
<sst xmlns="http://schemas.openxmlformats.org/spreadsheetml/2006/main" count="762" uniqueCount="140">
  <si>
    <t>6.5.1.</t>
  </si>
  <si>
    <t>Ingresos, Gastos y Resultado del Sector Público Nacional</t>
  </si>
  <si>
    <t>Año</t>
  </si>
  <si>
    <t>Ingresos Totales</t>
  </si>
  <si>
    <t>Gastos Totales</t>
  </si>
  <si>
    <t>Resultado Primario</t>
  </si>
  <si>
    <t>Resultado Financiero</t>
  </si>
  <si>
    <t>miles de $</t>
  </si>
  <si>
    <t>6.2.5.</t>
  </si>
  <si>
    <t>Resultado de la Administración Pública Nacional</t>
  </si>
  <si>
    <t>volver</t>
  </si>
  <si>
    <t>US$ m</t>
  </si>
  <si>
    <t>6.5.2.</t>
  </si>
  <si>
    <t>% del PBI</t>
  </si>
  <si>
    <t>6.2.4.</t>
  </si>
  <si>
    <t>Mes</t>
  </si>
  <si>
    <t>Expresión monetaria (m)</t>
  </si>
  <si>
    <t>Fuentes de creación de la base monetaria</t>
  </si>
  <si>
    <t>Total</t>
  </si>
  <si>
    <t>Fuentes de absorción</t>
  </si>
  <si>
    <t>Base monetaria</t>
  </si>
  <si>
    <t>Tipo de</t>
  </si>
  <si>
    <t>Descripción</t>
  </si>
  <si>
    <t>Unidades</t>
  </si>
  <si>
    <t>Equivalencia</t>
  </si>
  <si>
    <t>Activos externos netos</t>
  </si>
  <si>
    <t>Sector oficial</t>
  </si>
  <si>
    <t>Créditos a</t>
  </si>
  <si>
    <t>Depósitos</t>
  </si>
  <si>
    <t>Otras</t>
  </si>
  <si>
    <t>Depósitos en entidades financieras por cuenta y orden del BCRA</t>
  </si>
  <si>
    <t>Títulos emitidos por el BCRA</t>
  </si>
  <si>
    <t>Cuentas</t>
  </si>
  <si>
    <t>Circulación monetaria</t>
  </si>
  <si>
    <t>Depósitos de</t>
  </si>
  <si>
    <t>cambio</t>
  </si>
  <si>
    <t>monetarias</t>
  </si>
  <si>
    <t>de la unidad</t>
  </si>
  <si>
    <t>En moneda nacional</t>
  </si>
  <si>
    <t>En moneda extranjera (5)</t>
  </si>
  <si>
    <t>entidades</t>
  </si>
  <si>
    <t>Oficiales (4)</t>
  </si>
  <si>
    <t>Diversos</t>
  </si>
  <si>
    <t>obligaciones</t>
  </si>
  <si>
    <t>de entidades</t>
  </si>
  <si>
    <t>Varias</t>
  </si>
  <si>
    <t xml:space="preserve">Fuera del </t>
  </si>
  <si>
    <t>En</t>
  </si>
  <si>
    <t>entidades fi-</t>
  </si>
  <si>
    <t>de</t>
  </si>
  <si>
    <t>originales</t>
  </si>
  <si>
    <t>monetaria</t>
  </si>
  <si>
    <t>Gobierno Nacional (14)</t>
  </si>
  <si>
    <t>Rec. dev.</t>
  </si>
  <si>
    <t>Total (15)</t>
  </si>
  <si>
    <t>Valores</t>
  </si>
  <si>
    <t>Financ.Ext.</t>
  </si>
  <si>
    <t>financieras</t>
  </si>
  <si>
    <t>Del</t>
  </si>
  <si>
    <t>En moneda</t>
  </si>
  <si>
    <t>Dirección</t>
  </si>
  <si>
    <t>en moneda</t>
  </si>
  <si>
    <t>(6)</t>
  </si>
  <si>
    <t>sistema</t>
  </si>
  <si>
    <t>nancieras en</t>
  </si>
  <si>
    <t>valuación</t>
  </si>
  <si>
    <t>representadas</t>
  </si>
  <si>
    <t>original</t>
  </si>
  <si>
    <t>Adelantos</t>
  </si>
  <si>
    <t>Valores públicos (5)</t>
  </si>
  <si>
    <t>sobre créd.</t>
  </si>
  <si>
    <t>Públicos</t>
  </si>
  <si>
    <t>al Gob.Nac.</t>
  </si>
  <si>
    <t>Gobierno</t>
  </si>
  <si>
    <t>extranjera</t>
  </si>
  <si>
    <t>Nacional de</t>
  </si>
  <si>
    <t>nacional</t>
  </si>
  <si>
    <t>financiero</t>
  </si>
  <si>
    <t>cuenta</t>
  </si>
  <si>
    <t>1 u$s</t>
  </si>
  <si>
    <t>con la</t>
  </si>
  <si>
    <t>transit.</t>
  </si>
  <si>
    <t>Art. 51 C.O.</t>
  </si>
  <si>
    <t>Otros (9)</t>
  </si>
  <si>
    <t>Art.51 C.O.</t>
  </si>
  <si>
    <t>(10)</t>
  </si>
  <si>
    <t>Nacional</t>
  </si>
  <si>
    <t>Rec.Previs.</t>
  </si>
  <si>
    <t>(12)</t>
  </si>
  <si>
    <t>corriente</t>
  </si>
  <si>
    <t>=</t>
  </si>
  <si>
    <t>actual</t>
  </si>
  <si>
    <t>(5)</t>
  </si>
  <si>
    <t>(8)</t>
  </si>
  <si>
    <t>(11)</t>
  </si>
  <si>
    <t>(7)</t>
  </si>
  <si>
    <t>Jun.</t>
  </si>
  <si>
    <t>Jul.</t>
  </si>
  <si>
    <t>Ago.</t>
  </si>
  <si>
    <t>Set.</t>
  </si>
  <si>
    <t>Oct.</t>
  </si>
  <si>
    <t>Nov.</t>
  </si>
  <si>
    <t>Dic.</t>
  </si>
  <si>
    <t xml:space="preserve">Ene. </t>
  </si>
  <si>
    <t>Feb.</t>
  </si>
  <si>
    <t>Mar.</t>
  </si>
  <si>
    <t>Abr.</t>
  </si>
  <si>
    <t>May.</t>
  </si>
  <si>
    <t>Ene.</t>
  </si>
  <si>
    <t>$ Ley</t>
  </si>
  <si>
    <t>peso argentino</t>
  </si>
  <si>
    <t>Australes</t>
  </si>
  <si>
    <t>Pesos</t>
  </si>
  <si>
    <t>activos externos netos</t>
  </si>
  <si>
    <t>Tipo de cambio</t>
  </si>
  <si>
    <t>activos ext netos US$</t>
  </si>
  <si>
    <t>act int S ofic</t>
  </si>
  <si>
    <t>act int bancos</t>
  </si>
  <si>
    <t>base monetaria</t>
  </si>
  <si>
    <t>IPC</t>
  </si>
  <si>
    <t>reales</t>
  </si>
  <si>
    <t>Cuenta Corriente</t>
  </si>
  <si>
    <t>Mercancías</t>
  </si>
  <si>
    <t>Servicios reales</t>
  </si>
  <si>
    <t>Exportaciones</t>
  </si>
  <si>
    <t>Importaciones</t>
  </si>
  <si>
    <t>Saldo</t>
  </si>
  <si>
    <t>US$ M</t>
  </si>
  <si>
    <t>...</t>
  </si>
  <si>
    <t>Saldo servicios financieros/   Rentas</t>
  </si>
  <si>
    <t>Transferencias corrientes</t>
  </si>
  <si>
    <t>Resto</t>
  </si>
  <si>
    <t xml:space="preserve">Total </t>
  </si>
  <si>
    <t>Cuenta Capital</t>
  </si>
  <si>
    <t>Errores y Omisiones</t>
  </si>
  <si>
    <t>Variación de Reservas</t>
  </si>
  <si>
    <t>Sector Privado no  financiero</t>
  </si>
  <si>
    <t>Instituciones oficiales y bancarias</t>
  </si>
  <si>
    <t>Sector Público no financiero</t>
  </si>
  <si>
    <t>TC/IPC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</si>
</sst>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_ * #,##0_ ;_ * \-#,##0_ ;_ * &quot;-&quot;_ ;_ @_ "/>
    <numFmt numFmtId="166" formatCode="#,##0.000\ \ "/>
    <numFmt numFmtId="167" formatCode="#,##0.00\ \ "/>
    <numFmt numFmtId="168" formatCode="#,##0.0\ \ "/>
    <numFmt numFmtId="169" formatCode="#,##0\ \ "/>
    <numFmt numFmtId="170" formatCode="_ * #,##0.00_ ;_ * \-#,##0.00_ ;_ * &quot;-&quot;_ ;_ @_ "/>
    <numFmt numFmtId="171" formatCode="0.0000"/>
    <numFmt numFmtId="172" formatCode="0_ ;\-0\ "/>
    <numFmt numFmtId="173" formatCode="0.000E+00"/>
    <numFmt numFmtId="174" formatCode="_ * #,##0.0000_ ;_ * \-#,##0.0000_ ;_ * &quot;-&quot;????_ ;_ @_ "/>
    <numFmt numFmtId="175" formatCode="#,##0.0000000000\ \ "/>
    <numFmt numFmtId="176" formatCode="#,##0.000000000\ \ "/>
    <numFmt numFmtId="177" formatCode="#,##0.00000000\ \ "/>
    <numFmt numFmtId="178" formatCode="#,##0.0000000\ \ "/>
    <numFmt numFmtId="179" formatCode="#,##0.000000\ \ "/>
    <numFmt numFmtId="180" formatCode="#,##0.00000\ \ "/>
    <numFmt numFmtId="181" formatCode="#,##0.0000\ \ "/>
    <numFmt numFmtId="182" formatCode="_-* #,##0.0000000000_-;\-* #,##0.0000000000_-;_-* &quot;-&quot;??_-;_-@_-"/>
    <numFmt numFmtId="183" formatCode="0.000000000000"/>
    <numFmt numFmtId="184" formatCode="0.0000000000"/>
    <numFmt numFmtId="185" formatCode="0.000000000"/>
    <numFmt numFmtId="186" formatCode="0.00000000"/>
    <numFmt numFmtId="187" formatCode="0.0000000"/>
    <numFmt numFmtId="188" formatCode="0.000000"/>
    <numFmt numFmtId="193" formatCode="#,##0.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9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62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indexed="9"/>
      <name val="Verdana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10"/>
      <color indexed="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thick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/>
      <top style="medium">
        <color indexed="6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/>
  </cellStyleXfs>
  <cellXfs count="147">
    <xf numFmtId="0" fontId="0" fillId="0" borderId="0" xfId="0"/>
    <xf numFmtId="3" fontId="2" fillId="0" borderId="1" xfId="0" quotePrefix="1" applyNumberFormat="1" applyFont="1" applyFill="1" applyBorder="1" applyAlignment="1">
      <alignment horizontal="left" vertical="center"/>
    </xf>
    <xf numFmtId="3" fontId="3" fillId="0" borderId="1" xfId="0" quotePrefix="1" applyNumberFormat="1" applyFont="1" applyFill="1" applyBorder="1" applyAlignment="1">
      <alignment vertical="center"/>
    </xf>
    <xf numFmtId="0" fontId="6" fillId="0" borderId="0" xfId="0" applyFont="1" applyBorder="1" applyAlignment="1">
      <alignment horizontal="center"/>
    </xf>
    <xf numFmtId="166" fontId="8" fillId="0" borderId="0" xfId="2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167" fontId="8" fillId="0" borderId="0" xfId="2" applyNumberFormat="1" applyFont="1" applyBorder="1" applyAlignment="1">
      <alignment horizontal="right"/>
    </xf>
    <xf numFmtId="168" fontId="8" fillId="0" borderId="0" xfId="2" applyNumberFormat="1" applyFont="1" applyBorder="1" applyAlignment="1">
      <alignment horizontal="right"/>
    </xf>
    <xf numFmtId="169" fontId="8" fillId="0" borderId="0" xfId="2" applyNumberFormat="1" applyFont="1" applyBorder="1" applyAlignment="1">
      <alignment horizontal="right"/>
    </xf>
    <xf numFmtId="3" fontId="11" fillId="2" borderId="1" xfId="3" applyNumberFormat="1" applyFont="1" applyFill="1" applyBorder="1" applyAlignment="1" applyProtection="1">
      <alignment horizontal="center" vertical="center"/>
    </xf>
    <xf numFmtId="165" fontId="8" fillId="0" borderId="0" xfId="2" applyNumberFormat="1" applyFont="1" applyAlignment="1">
      <alignment horizontal="center"/>
    </xf>
    <xf numFmtId="170" fontId="8" fillId="0" borderId="0" xfId="2" applyNumberFormat="1" applyFont="1" applyAlignment="1">
      <alignment horizontal="center"/>
    </xf>
    <xf numFmtId="165" fontId="7" fillId="3" borderId="5" xfId="4" applyNumberFormat="1" applyFont="1" applyFill="1" applyBorder="1" applyAlignment="1">
      <alignment horizontal="centerContinuous"/>
    </xf>
    <xf numFmtId="165" fontId="7" fillId="3" borderId="0" xfId="4" applyNumberFormat="1" applyFont="1" applyFill="1" applyAlignment="1">
      <alignment horizontal="centerContinuous"/>
    </xf>
    <xf numFmtId="165" fontId="13" fillId="3" borderId="6" xfId="4" applyNumberFormat="1" applyFont="1" applyFill="1" applyBorder="1" applyAlignment="1">
      <alignment horizontal="centerContinuous"/>
    </xf>
    <xf numFmtId="0" fontId="10" fillId="3" borderId="7" xfId="3" applyNumberFormat="1" applyFill="1" applyBorder="1" applyAlignment="1" applyProtection="1">
      <alignment horizontal="centerContinuous"/>
    </xf>
    <xf numFmtId="0" fontId="7" fillId="3" borderId="8" xfId="4" applyNumberFormat="1" applyFont="1" applyFill="1" applyBorder="1" applyAlignment="1">
      <alignment horizontal="centerContinuous"/>
    </xf>
    <xf numFmtId="0" fontId="7" fillId="3" borderId="9" xfId="4" applyNumberFormat="1" applyFont="1" applyFill="1" applyBorder="1" applyAlignment="1">
      <alignment horizontal="centerContinuous"/>
    </xf>
    <xf numFmtId="165" fontId="7" fillId="3" borderId="7" xfId="4" applyNumberFormat="1" applyFont="1" applyFill="1" applyBorder="1" applyAlignment="1">
      <alignment horizontal="centerContinuous"/>
    </xf>
    <xf numFmtId="165" fontId="7" fillId="3" borderId="8" xfId="4" applyNumberFormat="1" applyFont="1" applyFill="1" applyBorder="1" applyAlignment="1">
      <alignment horizontal="centerContinuous"/>
    </xf>
    <xf numFmtId="165" fontId="7" fillId="3" borderId="10" xfId="4" applyNumberFormat="1" applyFont="1" applyFill="1" applyBorder="1" applyAlignment="1">
      <alignment horizontal="center"/>
    </xf>
    <xf numFmtId="165" fontId="7" fillId="3" borderId="11" xfId="4" applyNumberFormat="1" applyFont="1" applyFill="1" applyBorder="1" applyAlignment="1">
      <alignment horizontal="centerContinuous"/>
    </xf>
    <xf numFmtId="171" fontId="7" fillId="3" borderId="12" xfId="4" applyNumberFormat="1" applyFont="1" applyFill="1" applyBorder="1" applyAlignment="1">
      <alignment horizontal="centerContinuous"/>
    </xf>
    <xf numFmtId="165" fontId="7" fillId="3" borderId="5" xfId="4" applyNumberFormat="1" applyFont="1" applyFill="1" applyBorder="1"/>
    <xf numFmtId="165" fontId="7" fillId="3" borderId="0" xfId="4" applyNumberFormat="1" applyFont="1" applyFill="1"/>
    <xf numFmtId="165" fontId="13" fillId="3" borderId="6" xfId="4" applyNumberFormat="1" applyFont="1" applyFill="1" applyBorder="1"/>
    <xf numFmtId="0" fontId="7" fillId="3" borderId="13" xfId="4" applyNumberFormat="1" applyFont="1" applyFill="1" applyBorder="1" applyAlignment="1">
      <alignment horizontal="center"/>
    </xf>
    <xf numFmtId="0" fontId="7" fillId="3" borderId="14" xfId="4" applyNumberFormat="1" applyFont="1" applyFill="1" applyBorder="1" applyAlignment="1">
      <alignment horizontal="center"/>
    </xf>
    <xf numFmtId="165" fontId="7" fillId="3" borderId="15" xfId="4" applyNumberFormat="1" applyFont="1" applyFill="1" applyBorder="1" applyAlignment="1">
      <alignment horizontal="centerContinuous"/>
    </xf>
    <xf numFmtId="165" fontId="7" fillId="3" borderId="16" xfId="4" applyNumberFormat="1" applyFont="1" applyFill="1" applyBorder="1" applyAlignment="1">
      <alignment horizontal="centerContinuous"/>
    </xf>
    <xf numFmtId="165" fontId="7" fillId="3" borderId="13" xfId="4" applyNumberFormat="1" applyFont="1" applyFill="1" applyBorder="1" applyAlignment="1">
      <alignment horizontal="center"/>
    </xf>
    <xf numFmtId="165" fontId="7" fillId="3" borderId="0" xfId="4" applyNumberFormat="1" applyFont="1" applyFill="1" applyAlignment="1">
      <alignment horizontal="center"/>
    </xf>
    <xf numFmtId="165" fontId="7" fillId="3" borderId="14" xfId="4" applyNumberFormat="1" applyFont="1" applyFill="1" applyBorder="1" applyAlignment="1">
      <alignment horizontal="center"/>
    </xf>
    <xf numFmtId="165" fontId="7" fillId="3" borderId="17" xfId="4" applyNumberFormat="1" applyFont="1" applyFill="1" applyBorder="1" applyAlignment="1">
      <alignment horizontal="center"/>
    </xf>
    <xf numFmtId="0" fontId="7" fillId="3" borderId="10" xfId="4" applyNumberFormat="1" applyFont="1" applyFill="1" applyBorder="1" applyAlignment="1">
      <alignment horizontal="center"/>
    </xf>
    <xf numFmtId="165" fontId="7" fillId="3" borderId="18" xfId="4" applyNumberFormat="1" applyFont="1" applyFill="1" applyBorder="1" applyAlignment="1">
      <alignment horizontal="centerContinuous"/>
    </xf>
    <xf numFmtId="165" fontId="7" fillId="3" borderId="9" xfId="4" applyNumberFormat="1" applyFont="1" applyFill="1" applyBorder="1" applyAlignment="1">
      <alignment horizontal="centerContinuous"/>
    </xf>
    <xf numFmtId="171" fontId="7" fillId="3" borderId="12" xfId="4" applyNumberFormat="1" applyFont="1" applyFill="1" applyBorder="1" applyAlignment="1">
      <alignment horizontal="center"/>
    </xf>
    <xf numFmtId="165" fontId="7" fillId="3" borderId="0" xfId="4" applyNumberFormat="1" applyFont="1" applyFill="1" applyBorder="1" applyAlignment="1">
      <alignment horizontal="centerContinuous"/>
    </xf>
    <xf numFmtId="165" fontId="7" fillId="3" borderId="10" xfId="4" applyNumberFormat="1" applyFont="1" applyFill="1" applyBorder="1" applyAlignment="1">
      <alignment horizontal="center" vertical="top"/>
    </xf>
    <xf numFmtId="165" fontId="7" fillId="3" borderId="10" xfId="4" quotePrefix="1" applyNumberFormat="1" applyFont="1" applyFill="1" applyBorder="1" applyAlignment="1">
      <alignment horizontal="center"/>
    </xf>
    <xf numFmtId="165" fontId="7" fillId="3" borderId="19" xfId="4" applyNumberFormat="1" applyFont="1" applyFill="1" applyBorder="1" applyAlignment="1">
      <alignment horizontal="center"/>
    </xf>
    <xf numFmtId="165" fontId="7" fillId="3" borderId="20" xfId="4" applyNumberFormat="1" applyFont="1" applyFill="1" applyBorder="1"/>
    <xf numFmtId="165" fontId="7" fillId="3" borderId="21" xfId="4" applyNumberFormat="1" applyFont="1" applyFill="1" applyBorder="1"/>
    <xf numFmtId="165" fontId="13" fillId="3" borderId="22" xfId="4" applyNumberFormat="1" applyFont="1" applyFill="1" applyBorder="1"/>
    <xf numFmtId="0" fontId="7" fillId="3" borderId="23" xfId="4" applyNumberFormat="1" applyFont="1" applyFill="1" applyBorder="1" applyAlignment="1">
      <alignment horizontal="center"/>
    </xf>
    <xf numFmtId="0" fontId="7" fillId="3" borderId="24" xfId="4" applyNumberFormat="1" applyFont="1" applyFill="1" applyBorder="1" applyAlignment="1">
      <alignment horizontal="center"/>
    </xf>
    <xf numFmtId="165" fontId="7" fillId="3" borderId="23" xfId="4" applyNumberFormat="1" applyFont="1" applyFill="1" applyBorder="1" applyAlignment="1">
      <alignment horizontal="center"/>
    </xf>
    <xf numFmtId="165" fontId="7" fillId="3" borderId="23" xfId="4" quotePrefix="1" applyNumberFormat="1" applyFont="1" applyFill="1" applyBorder="1" applyAlignment="1">
      <alignment horizontal="center"/>
    </xf>
    <xf numFmtId="165" fontId="7" fillId="3" borderId="24" xfId="4" quotePrefix="1" applyNumberFormat="1" applyFont="1" applyFill="1" applyBorder="1" applyAlignment="1">
      <alignment horizontal="center"/>
    </xf>
    <xf numFmtId="165" fontId="7" fillId="3" borderId="24" xfId="4" applyNumberFormat="1" applyFont="1" applyFill="1" applyBorder="1" applyAlignment="1">
      <alignment horizontal="center" vertical="top"/>
    </xf>
    <xf numFmtId="165" fontId="7" fillId="3" borderId="24" xfId="4" applyNumberFormat="1" applyFont="1" applyFill="1" applyBorder="1" applyAlignment="1">
      <alignment horizontal="center"/>
    </xf>
    <xf numFmtId="165" fontId="7" fillId="3" borderId="21" xfId="4" applyNumberFormat="1" applyFont="1" applyFill="1" applyBorder="1" applyAlignment="1">
      <alignment horizontal="center"/>
    </xf>
    <xf numFmtId="171" fontId="7" fillId="3" borderId="25" xfId="4" applyNumberFormat="1" applyFont="1" applyFill="1" applyBorder="1"/>
    <xf numFmtId="165" fontId="7" fillId="4" borderId="0" xfId="4" applyNumberFormat="1" applyFont="1" applyFill="1"/>
    <xf numFmtId="165" fontId="13" fillId="4" borderId="0" xfId="4" applyNumberFormat="1" applyFont="1" applyFill="1"/>
    <xf numFmtId="172" fontId="7" fillId="4" borderId="0" xfId="4" applyNumberFormat="1" applyFont="1" applyFill="1"/>
    <xf numFmtId="172" fontId="13" fillId="4" borderId="0" xfId="4" applyNumberFormat="1" applyFont="1" applyFill="1"/>
    <xf numFmtId="0" fontId="14" fillId="4" borderId="0" xfId="4" applyNumberFormat="1" applyFont="1" applyFill="1"/>
    <xf numFmtId="165" fontId="14" fillId="4" borderId="0" xfId="4" applyNumberFormat="1" applyFont="1" applyFill="1"/>
    <xf numFmtId="173" fontId="14" fillId="4" borderId="0" xfId="4" applyNumberFormat="1" applyFont="1" applyFill="1"/>
    <xf numFmtId="3" fontId="7" fillId="4" borderId="0" xfId="4" applyNumberFormat="1" applyFont="1" applyFill="1"/>
    <xf numFmtId="172" fontId="14" fillId="4" borderId="0" xfId="4" applyNumberFormat="1" applyFont="1" applyFill="1"/>
    <xf numFmtId="1" fontId="14" fillId="4" borderId="0" xfId="4" applyNumberFormat="1" applyFont="1" applyFill="1"/>
    <xf numFmtId="3" fontId="14" fillId="4" borderId="0" xfId="4" applyNumberFormat="1" applyFont="1" applyFill="1" applyProtection="1"/>
    <xf numFmtId="174" fontId="7" fillId="0" borderId="0" xfId="0" applyNumberFormat="1" applyFont="1"/>
    <xf numFmtId="0" fontId="6" fillId="0" borderId="0" xfId="0" applyFont="1" applyBorder="1" applyAlignment="1">
      <alignment horizontal="left" vertical="center"/>
    </xf>
    <xf numFmtId="175" fontId="8" fillId="0" borderId="0" xfId="0" applyNumberFormat="1" applyFont="1" applyAlignment="1">
      <alignment horizontal="right"/>
    </xf>
    <xf numFmtId="0" fontId="9" fillId="0" borderId="0" xfId="0" applyFont="1" applyBorder="1" applyAlignment="1">
      <alignment horizontal="left" vertical="center"/>
    </xf>
    <xf numFmtId="176" fontId="8" fillId="0" borderId="0" xfId="0" applyNumberFormat="1" applyFont="1" applyAlignment="1">
      <alignment horizontal="right"/>
    </xf>
    <xf numFmtId="177" fontId="8" fillId="0" borderId="0" xfId="0" applyNumberFormat="1" applyFont="1" applyAlignment="1">
      <alignment horizontal="right"/>
    </xf>
    <xf numFmtId="178" fontId="8" fillId="0" borderId="0" xfId="0" applyNumberFormat="1" applyFont="1" applyAlignment="1">
      <alignment horizontal="right"/>
    </xf>
    <xf numFmtId="179" fontId="8" fillId="0" borderId="0" xfId="0" applyNumberFormat="1" applyFont="1" applyAlignment="1">
      <alignment horizontal="right"/>
    </xf>
    <xf numFmtId="180" fontId="8" fillId="0" borderId="0" xfId="0" applyNumberFormat="1" applyFont="1" applyAlignment="1">
      <alignment horizontal="right"/>
    </xf>
    <xf numFmtId="181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" fontId="0" fillId="0" borderId="0" xfId="0" applyNumberFormat="1"/>
    <xf numFmtId="182" fontId="0" fillId="0" borderId="0" xfId="1" applyNumberFormat="1" applyFont="1"/>
    <xf numFmtId="183" fontId="15" fillId="5" borderId="0" xfId="0" applyNumberFormat="1" applyFont="1" applyFill="1"/>
    <xf numFmtId="183" fontId="15" fillId="0" borderId="0" xfId="0" applyNumberFormat="1" applyFont="1"/>
    <xf numFmtId="184" fontId="15" fillId="0" borderId="0" xfId="0" applyNumberFormat="1" applyFont="1"/>
    <xf numFmtId="185" fontId="15" fillId="0" borderId="0" xfId="0" applyNumberFormat="1" applyFont="1"/>
    <xf numFmtId="186" fontId="15" fillId="0" borderId="0" xfId="0" applyNumberFormat="1" applyFont="1"/>
    <xf numFmtId="187" fontId="15" fillId="0" borderId="0" xfId="0" applyNumberFormat="1" applyFont="1"/>
    <xf numFmtId="188" fontId="15" fillId="0" borderId="0" xfId="0" applyNumberFormat="1" applyFont="1"/>
    <xf numFmtId="171" fontId="15" fillId="0" borderId="0" xfId="0" applyNumberFormat="1" applyFont="1"/>
    <xf numFmtId="0" fontId="15" fillId="0" borderId="0" xfId="0" applyFont="1"/>
    <xf numFmtId="2" fontId="15" fillId="0" borderId="0" xfId="0" applyNumberFormat="1" applyFont="1"/>
    <xf numFmtId="0" fontId="15" fillId="0" borderId="0" xfId="0" applyFont="1" applyAlignment="1">
      <alignment horizontal="right"/>
    </xf>
    <xf numFmtId="2" fontId="15" fillId="0" borderId="0" xfId="0" applyNumberFormat="1" applyFont="1" applyAlignment="1">
      <alignment horizontal="right"/>
    </xf>
    <xf numFmtId="0" fontId="15" fillId="0" borderId="0" xfId="0" applyFont="1" applyFill="1" applyAlignment="1">
      <alignment horizontal="right"/>
    </xf>
    <xf numFmtId="0" fontId="15" fillId="0" borderId="0" xfId="0" applyFont="1" applyFill="1" applyAlignment="1"/>
    <xf numFmtId="2" fontId="15" fillId="0" borderId="0" xfId="0" applyNumberFormat="1" applyFont="1" applyFill="1" applyAlignment="1"/>
    <xf numFmtId="2" fontId="15" fillId="0" borderId="0" xfId="0" applyNumberFormat="1" applyFont="1" applyFill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0" xfId="0" quotePrefix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/>
    </xf>
    <xf numFmtId="164" fontId="5" fillId="0" borderId="4" xfId="0" quotePrefix="1" applyNumberFormat="1" applyFont="1" applyBorder="1" applyAlignment="1">
      <alignment horizontal="center"/>
    </xf>
    <xf numFmtId="165" fontId="7" fillId="3" borderId="14" xfId="4" applyNumberFormat="1" applyFont="1" applyFill="1" applyBorder="1" applyAlignment="1">
      <alignment horizontal="center" vertical="top" wrapText="1"/>
    </xf>
    <xf numFmtId="0" fontId="0" fillId="4" borderId="10" xfId="4" applyNumberFormat="1" applyFont="1" applyFill="1" applyBorder="1" applyAlignment="1">
      <alignment horizontal="center" vertical="top" wrapText="1"/>
    </xf>
    <xf numFmtId="0" fontId="0" fillId="4" borderId="24" xfId="4" applyNumberFormat="1" applyFont="1" applyFill="1" applyBorder="1" applyAlignment="1">
      <alignment horizontal="center" vertical="top" wrapText="1"/>
    </xf>
    <xf numFmtId="165" fontId="7" fillId="3" borderId="18" xfId="4" applyNumberFormat="1" applyFont="1" applyFill="1" applyBorder="1" applyAlignment="1">
      <alignment horizontal="center"/>
    </xf>
    <xf numFmtId="0" fontId="0" fillId="4" borderId="15" xfId="4" applyNumberFormat="1" applyFont="1" applyFill="1" applyBorder="1" applyAlignment="1">
      <alignment horizontal="center"/>
    </xf>
    <xf numFmtId="0" fontId="0" fillId="4" borderId="16" xfId="4" applyNumberFormat="1" applyFont="1" applyFill="1" applyBorder="1" applyAlignment="1">
      <alignment horizontal="center"/>
    </xf>
    <xf numFmtId="0" fontId="16" fillId="6" borderId="2" xfId="0" applyFont="1" applyFill="1" applyBorder="1" applyAlignment="1" applyProtection="1">
      <alignment horizontal="center" vertical="center"/>
      <protection locked="0"/>
    </xf>
    <xf numFmtId="2" fontId="4" fillId="6" borderId="26" xfId="0" applyNumberFormat="1" applyFont="1" applyFill="1" applyBorder="1" applyAlignment="1" applyProtection="1">
      <alignment horizontal="center"/>
      <protection locked="0"/>
    </xf>
    <xf numFmtId="0" fontId="16" fillId="6" borderId="0" xfId="0" applyFont="1" applyFill="1" applyBorder="1" applyAlignment="1" applyProtection="1">
      <alignment horizontal="center" vertical="center"/>
      <protection locked="0"/>
    </xf>
    <xf numFmtId="2" fontId="4" fillId="6" borderId="27" xfId="0" applyNumberFormat="1" applyFont="1" applyFill="1" applyBorder="1" applyAlignment="1" applyProtection="1">
      <alignment horizontal="center"/>
      <protection locked="0"/>
    </xf>
    <xf numFmtId="2" fontId="4" fillId="6" borderId="0" xfId="0" applyNumberFormat="1" applyFont="1" applyFill="1" applyBorder="1" applyAlignment="1" applyProtection="1">
      <alignment horizontal="center"/>
      <protection locked="0"/>
    </xf>
    <xf numFmtId="2" fontId="4" fillId="6" borderId="27" xfId="0" applyNumberFormat="1" applyFont="1" applyFill="1" applyBorder="1" applyAlignment="1" applyProtection="1">
      <alignment horizontal="center" wrapText="1"/>
      <protection locked="0"/>
    </xf>
    <xf numFmtId="2" fontId="4" fillId="6" borderId="28" xfId="0" applyNumberFormat="1" applyFont="1" applyFill="1" applyBorder="1" applyAlignment="1" applyProtection="1">
      <alignment horizontal="center" vertical="center" wrapText="1"/>
      <protection locked="0"/>
    </xf>
    <xf numFmtId="2" fontId="4" fillId="6" borderId="0" xfId="0" applyNumberFormat="1" applyFont="1" applyFill="1" applyBorder="1" applyAlignment="1" applyProtection="1">
      <alignment horizontal="center" wrapText="1"/>
      <protection locked="0"/>
    </xf>
    <xf numFmtId="2" fontId="4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 applyProtection="1">
      <alignment horizontal="center" vertical="center"/>
      <protection locked="0"/>
    </xf>
    <xf numFmtId="2" fontId="5" fillId="6" borderId="4" xfId="0" applyNumberFormat="1" applyFont="1" applyFill="1" applyBorder="1" applyAlignment="1" applyProtection="1">
      <alignment horizontal="center"/>
      <protection locked="0"/>
    </xf>
    <xf numFmtId="2" fontId="5" fillId="6" borderId="1" xfId="0" applyNumberFormat="1" applyFont="1" applyFill="1" applyBorder="1" applyAlignment="1" applyProtection="1">
      <alignment horizontal="center"/>
      <protection locked="0"/>
    </xf>
    <xf numFmtId="0" fontId="6" fillId="0" borderId="0" xfId="0" applyNumberFormat="1" applyFont="1" applyFill="1" applyBorder="1" applyAlignment="1" applyProtection="1">
      <alignment horizontal="center"/>
      <protection locked="0"/>
    </xf>
    <xf numFmtId="168" fontId="17" fillId="0" borderId="0" xfId="0" applyNumberFormat="1" applyFont="1" applyFill="1" applyBorder="1" applyAlignment="1" applyProtection="1">
      <alignment horizontal="right"/>
      <protection locked="0"/>
    </xf>
    <xf numFmtId="167" fontId="17" fillId="0" borderId="0" xfId="0" applyNumberFormat="1" applyFont="1" applyFill="1" applyBorder="1" applyAlignment="1" applyProtection="1">
      <alignment horizontal="right"/>
      <protection locked="0"/>
    </xf>
    <xf numFmtId="167" fontId="17" fillId="0" borderId="0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169" fontId="17" fillId="0" borderId="0" xfId="0" applyNumberFormat="1" applyFont="1" applyFill="1" applyBorder="1" applyAlignment="1" applyProtection="1">
      <alignment horizontal="right"/>
      <protection locked="0"/>
    </xf>
    <xf numFmtId="2" fontId="4" fillId="6" borderId="28" xfId="0" applyNumberFormat="1" applyFont="1" applyFill="1" applyBorder="1" applyAlignment="1" applyProtection="1">
      <alignment horizontal="center" wrapText="1"/>
      <protection locked="0"/>
    </xf>
    <xf numFmtId="2" fontId="4" fillId="6" borderId="28" xfId="0" applyNumberFormat="1" applyFont="1" applyFill="1" applyBorder="1" applyAlignment="1" applyProtection="1">
      <alignment horizontal="center" vertical="center" wrapText="1"/>
      <protection locked="0"/>
    </xf>
    <xf numFmtId="2" fontId="4" fillId="6" borderId="0" xfId="0" applyNumberFormat="1" applyFont="1" applyFill="1" applyBorder="1" applyAlignment="1" applyProtection="1">
      <alignment horizontal="center" wrapText="1"/>
      <protection locked="0"/>
    </xf>
    <xf numFmtId="2" fontId="4" fillId="6" borderId="0" xfId="0" applyNumberFormat="1" applyFont="1" applyFill="1" applyBorder="1" applyAlignment="1" applyProtection="1">
      <alignment horizontal="center" vertical="center" wrapText="1"/>
      <protection locked="0"/>
    </xf>
    <xf numFmtId="2" fontId="4" fillId="6" borderId="0" xfId="0" applyNumberFormat="1" applyFont="1" applyFill="1" applyBorder="1" applyAlignment="1" applyProtection="1">
      <alignment horizontal="center" vertical="center" wrapText="1"/>
      <protection locked="0"/>
    </xf>
    <xf numFmtId="2" fontId="4" fillId="6" borderId="3" xfId="0" applyNumberFormat="1" applyFont="1" applyFill="1" applyBorder="1" applyAlignment="1" applyProtection="1">
      <alignment horizontal="center" wrapText="1"/>
      <protection locked="0"/>
    </xf>
    <xf numFmtId="2" fontId="4" fillId="6" borderId="3" xfId="0" applyNumberFormat="1" applyFont="1" applyFill="1" applyBorder="1" applyAlignment="1" applyProtection="1">
      <alignment horizontal="center"/>
      <protection locked="0"/>
    </xf>
    <xf numFmtId="2" fontId="4" fillId="6" borderId="2" xfId="0" applyNumberFormat="1" applyFont="1" applyFill="1" applyBorder="1" applyAlignment="1" applyProtection="1">
      <alignment horizontal="center" vertical="center" wrapText="1"/>
      <protection locked="0"/>
    </xf>
    <xf numFmtId="2" fontId="0" fillId="6" borderId="0" xfId="0" applyNumberFormat="1" applyFill="1" applyBorder="1" applyAlignment="1" applyProtection="1">
      <alignment horizontal="center" vertical="center" wrapText="1"/>
      <protection locked="0"/>
    </xf>
    <xf numFmtId="2" fontId="4" fillId="6" borderId="28" xfId="0" applyNumberFormat="1" applyFont="1" applyFill="1" applyBorder="1" applyAlignment="1" applyProtection="1">
      <alignment horizontal="center" vertical="justify"/>
      <protection locked="0"/>
    </xf>
    <xf numFmtId="2" fontId="4" fillId="6" borderId="0" xfId="0" applyNumberFormat="1" applyFont="1" applyFill="1" applyBorder="1" applyAlignment="1" applyProtection="1">
      <alignment horizontal="center" vertical="justify"/>
      <protection locked="0"/>
    </xf>
    <xf numFmtId="2" fontId="4" fillId="6" borderId="3" xfId="0" applyNumberFormat="1" applyFont="1" applyFill="1" applyBorder="1" applyAlignment="1" applyProtection="1">
      <alignment horizontal="center" vertical="justify"/>
      <protection locked="0"/>
    </xf>
    <xf numFmtId="2" fontId="0" fillId="6" borderId="0" xfId="0" applyNumberFormat="1" applyFill="1" applyBorder="1" applyAlignment="1" applyProtection="1">
      <alignment horizontal="center"/>
      <protection locked="0"/>
    </xf>
    <xf numFmtId="2" fontId="18" fillId="6" borderId="1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right"/>
      <protection locked="0"/>
    </xf>
    <xf numFmtId="168" fontId="8" fillId="0" borderId="0" xfId="0" applyNumberFormat="1" applyFont="1" applyFill="1" applyBorder="1" applyAlignment="1" applyProtection="1">
      <alignment horizontal="right"/>
      <protection locked="0"/>
    </xf>
    <xf numFmtId="169" fontId="8" fillId="0" borderId="0" xfId="0" applyNumberFormat="1" applyFont="1" applyFill="1" applyBorder="1" applyAlignment="1" applyProtection="1">
      <alignment horizontal="right"/>
      <protection locked="0"/>
    </xf>
    <xf numFmtId="193" fontId="7" fillId="4" borderId="0" xfId="4" applyNumberFormat="1" applyFont="1" applyFill="1"/>
  </cellXfs>
  <cellStyles count="5">
    <cellStyle name="Cambiar to&amp;do" xfId="4" xr:uid="{53451569-A258-4869-B10D-F5A138CF7821}"/>
    <cellStyle name="Hipervínculo" xfId="3" builtinId="8"/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Sector Público Nacional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Hoja1!$N$2</c:f>
              <c:strCache>
                <c:ptCount val="1"/>
                <c:pt idx="0">
                  <c:v>Resultado Primario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Hoja1!$K$7:$K$27</c:f>
              <c:numCache>
                <c:formatCode>General</c:formatCode>
                <c:ptCount val="2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</c:numCache>
            </c:numRef>
          </c:cat>
          <c:val>
            <c:numRef>
              <c:f>Hoja1!$N$7:$N$27</c:f>
              <c:numCache>
                <c:formatCode>_ * #,##0.00_ ;_ * \-#,##0.00_ ;_ * "-"_ ;_ @_ </c:formatCode>
                <c:ptCount val="21"/>
                <c:pt idx="0">
                  <c:v>-2.1631045439082039</c:v>
                </c:pt>
                <c:pt idx="1">
                  <c:v>-2.419730104361363</c:v>
                </c:pt>
                <c:pt idx="2">
                  <c:v>-2.207540586843908</c:v>
                </c:pt>
                <c:pt idx="3">
                  <c:v>-3.2331892004831699</c:v>
                </c:pt>
                <c:pt idx="4">
                  <c:v>-1.3379816682419727</c:v>
                </c:pt>
                <c:pt idx="5">
                  <c:v>4.5223522018389772</c:v>
                </c:pt>
                <c:pt idx="6">
                  <c:v>4.593805021712015</c:v>
                </c:pt>
                <c:pt idx="7">
                  <c:v>2.1013719287800887</c:v>
                </c:pt>
                <c:pt idx="8">
                  <c:v>-2.6592744976406379</c:v>
                </c:pt>
                <c:pt idx="9">
                  <c:v>-2.2834491089373254</c:v>
                </c:pt>
                <c:pt idx="10">
                  <c:v>-0.8599118366715689</c:v>
                </c:pt>
                <c:pt idx="11">
                  <c:v>1.397863399347584</c:v>
                </c:pt>
                <c:pt idx="12">
                  <c:v>2.9549491017178848</c:v>
                </c:pt>
                <c:pt idx="13">
                  <c:v>3.6933260312096938</c:v>
                </c:pt>
                <c:pt idx="14">
                  <c:v>2.0251323926724338</c:v>
                </c:pt>
                <c:pt idx="15">
                  <c:v>1.8110552527746309</c:v>
                </c:pt>
                <c:pt idx="16">
                  <c:v>0.6006619354911642</c:v>
                </c:pt>
                <c:pt idx="17">
                  <c:v>2.8907438597043913</c:v>
                </c:pt>
                <c:pt idx="18">
                  <c:v>2.0520601082459642</c:v>
                </c:pt>
                <c:pt idx="19">
                  <c:v>1.4983262901838201</c:v>
                </c:pt>
                <c:pt idx="20">
                  <c:v>2.9214605106029126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1-4B34-B812-DDA565EF409E}"/>
            </c:ext>
          </c:extLst>
        </c:ser>
        <c:ser>
          <c:idx val="1"/>
          <c:order val="1"/>
          <c:tx>
            <c:strRef>
              <c:f>Hoja1!$O$2</c:f>
              <c:strCache>
                <c:ptCount val="1"/>
                <c:pt idx="0">
                  <c:v>Resultado Financiero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Hoja1!$K$7:$K$27</c:f>
              <c:numCache>
                <c:formatCode>General</c:formatCode>
                <c:ptCount val="2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</c:numCache>
            </c:numRef>
          </c:cat>
          <c:val>
            <c:numRef>
              <c:f>Hoja1!$O$7:$O$27</c:f>
              <c:numCache>
                <c:formatCode>_ * #,##0.00_ ;_ * \-#,##0.00_ ;_ * "-"_ ;_ @_ </c:formatCode>
                <c:ptCount val="21"/>
                <c:pt idx="0">
                  <c:v>-4.8386949814629361</c:v>
                </c:pt>
                <c:pt idx="1">
                  <c:v>-8.1127841316646556</c:v>
                </c:pt>
                <c:pt idx="2">
                  <c:v>-9.7271034215940393</c:v>
                </c:pt>
                <c:pt idx="3">
                  <c:v>-7.1591051999501349</c:v>
                </c:pt>
                <c:pt idx="4">
                  <c:v>-4.9314984059647156</c:v>
                </c:pt>
                <c:pt idx="5">
                  <c:v>0.13282318192336606</c:v>
                </c:pt>
                <c:pt idx="6">
                  <c:v>1.5165425088298949</c:v>
                </c:pt>
                <c:pt idx="7">
                  <c:v>-0.77809573640079499</c:v>
                </c:pt>
                <c:pt idx="8">
                  <c:v>-5.1860706647265857</c:v>
                </c:pt>
                <c:pt idx="9">
                  <c:v>-6.0772171470464729</c:v>
                </c:pt>
                <c:pt idx="10">
                  <c:v>-2.3736853381992482</c:v>
                </c:pt>
                <c:pt idx="11">
                  <c:v>0.10662027134004785</c:v>
                </c:pt>
                <c:pt idx="12">
                  <c:v>0.98072624289021848</c:v>
                </c:pt>
                <c:pt idx="13">
                  <c:v>2.4624851427219712</c:v>
                </c:pt>
                <c:pt idx="14">
                  <c:v>0.74957283555001364</c:v>
                </c:pt>
                <c:pt idx="15">
                  <c:v>0.13413071044602079</c:v>
                </c:pt>
                <c:pt idx="16">
                  <c:v>-0.94775024788178164</c:v>
                </c:pt>
                <c:pt idx="17">
                  <c:v>0.94352612076060849</c:v>
                </c:pt>
                <c:pt idx="18">
                  <c:v>-0.18615255277261419</c:v>
                </c:pt>
                <c:pt idx="19">
                  <c:v>-1.3914213918634615</c:v>
                </c:pt>
                <c:pt idx="20">
                  <c:v>-0.47958552746050115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1-4B34-B812-DDA565EF4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560608"/>
        <c:axId val="1002476160"/>
      </c:barChart>
      <c:catAx>
        <c:axId val="86456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2476160"/>
        <c:crosses val="autoZero"/>
        <c:auto val="1"/>
        <c:lblAlgn val="ctr"/>
        <c:lblOffset val="100"/>
        <c:noMultiLvlLbl val="0"/>
      </c:catAx>
      <c:valAx>
        <c:axId val="10024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456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Adm Pública Nacional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Hoja1!$S$2</c:f>
              <c:strCache>
                <c:ptCount val="1"/>
                <c:pt idx="0">
                  <c:v>Resultado Primario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Hoja1!$K$7:$K$27</c:f>
              <c:numCache>
                <c:formatCode>General</c:formatCode>
                <c:ptCount val="2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</c:numCache>
            </c:numRef>
          </c:cat>
          <c:val>
            <c:numRef>
              <c:f>Hoja1!$S$7:$S$27</c:f>
              <c:numCache>
                <c:formatCode>_ * #,##0.00_ ;_ * \-#,##0.00_ ;_ * "-"_ ;_ @_ </c:formatCode>
                <c:ptCount val="21"/>
                <c:pt idx="0">
                  <c:v>0.25468308383762367</c:v>
                </c:pt>
                <c:pt idx="1">
                  <c:v>-1.0482679977583795</c:v>
                </c:pt>
                <c:pt idx="2">
                  <c:v>-0.13132409460273795</c:v>
                </c:pt>
                <c:pt idx="3">
                  <c:v>-0.62867567787172762</c:v>
                </c:pt>
                <c:pt idx="4">
                  <c:v>0.73235180980680914</c:v>
                </c:pt>
                <c:pt idx="5">
                  <c:v>5.9378326336188927</c:v>
                </c:pt>
                <c:pt idx="6">
                  <c:v>5.1769479586468199</c:v>
                </c:pt>
                <c:pt idx="7">
                  <c:v>3.4283822338715506</c:v>
                </c:pt>
                <c:pt idx="8">
                  <c:v>-0.81703142130394857</c:v>
                </c:pt>
                <c:pt idx="9">
                  <c:v>0.68170882430674762</c:v>
                </c:pt>
                <c:pt idx="10">
                  <c:v>0.56395173559001044</c:v>
                </c:pt>
                <c:pt idx="11">
                  <c:v>1.8508941965434393</c:v>
                </c:pt>
                <c:pt idx="12">
                  <c:v>3.1325821102695692</c:v>
                </c:pt>
                <c:pt idx="13">
                  <c:v>4.0687938116896314</c:v>
                </c:pt>
                <c:pt idx="14">
                  <c:v>2.1974444151888801</c:v>
                </c:pt>
                <c:pt idx="15">
                  <c:v>1.8665135153138552</c:v>
                </c:pt>
                <c:pt idx="16">
                  <c:v>0.56178628076860671</c:v>
                </c:pt>
                <c:pt idx="17">
                  <c:v>2.9558946934627599</c:v>
                </c:pt>
                <c:pt idx="18">
                  <c:v>2.0589843810984227</c:v>
                </c:pt>
                <c:pt idx="19">
                  <c:v>1.5642115920849848</c:v>
                </c:pt>
                <c:pt idx="20">
                  <c:v>2.92459206687173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5-45F4-BD33-59C800A533BC}"/>
            </c:ext>
          </c:extLst>
        </c:ser>
        <c:ser>
          <c:idx val="1"/>
          <c:order val="1"/>
          <c:tx>
            <c:strRef>
              <c:f>Hoja1!$T$2</c:f>
              <c:strCache>
                <c:ptCount val="1"/>
                <c:pt idx="0">
                  <c:v>Resultado Financiero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Hoja1!$K$7:$K$27</c:f>
              <c:numCache>
                <c:formatCode>General</c:formatCode>
                <c:ptCount val="2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</c:numCache>
            </c:numRef>
          </c:cat>
          <c:val>
            <c:numRef>
              <c:f>Hoja1!$T$7:$T$27</c:f>
              <c:numCache>
                <c:formatCode>_ * #,##0.00_ ;_ * \-#,##0.00_ ;_ * "-"_ ;_ @_ </c:formatCode>
                <c:ptCount val="21"/>
                <c:pt idx="0">
                  <c:v>-1.1486263803367267</c:v>
                </c:pt>
                <c:pt idx="1">
                  <c:v>-3.9351578464641097</c:v>
                </c:pt>
                <c:pt idx="2">
                  <c:v>-4.6415467091241922</c:v>
                </c:pt>
                <c:pt idx="3">
                  <c:v>-2.8835934074568876</c:v>
                </c:pt>
                <c:pt idx="4">
                  <c:v>-1.3865884799709634</c:v>
                </c:pt>
                <c:pt idx="5">
                  <c:v>3.595669291171169</c:v>
                </c:pt>
                <c:pt idx="6">
                  <c:v>3.3025131983984655</c:v>
                </c:pt>
                <c:pt idx="7">
                  <c:v>1.8843266273845405</c:v>
                </c:pt>
                <c:pt idx="8">
                  <c:v>-1.7472234595287743</c:v>
                </c:pt>
                <c:pt idx="9">
                  <c:v>-0.24661810345753932</c:v>
                </c:pt>
                <c:pt idx="10">
                  <c:v>-0.1371560959630492</c:v>
                </c:pt>
                <c:pt idx="11">
                  <c:v>0.9646997334573274</c:v>
                </c:pt>
                <c:pt idx="12">
                  <c:v>1.5388779611123489</c:v>
                </c:pt>
                <c:pt idx="13">
                  <c:v>2.9819668038679747</c:v>
                </c:pt>
                <c:pt idx="14">
                  <c:v>0.95696099790693556</c:v>
                </c:pt>
                <c:pt idx="15">
                  <c:v>0.23128924586589195</c:v>
                </c:pt>
                <c:pt idx="16">
                  <c:v>-0.96068430313919206</c:v>
                </c:pt>
                <c:pt idx="17">
                  <c:v>1.0294719533443686</c:v>
                </c:pt>
                <c:pt idx="18">
                  <c:v>-0.15892376967164243</c:v>
                </c:pt>
                <c:pt idx="19">
                  <c:v>-1.3195753747474699</c:v>
                </c:pt>
                <c:pt idx="20">
                  <c:v>-0.46969825429715556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5-45F4-BD33-59C800A53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560608"/>
        <c:axId val="1002476160"/>
      </c:barChart>
      <c:catAx>
        <c:axId val="86456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2476160"/>
        <c:crosses val="autoZero"/>
        <c:auto val="1"/>
        <c:lblAlgn val="ctr"/>
        <c:lblOffset val="100"/>
        <c:noMultiLvlLbl val="0"/>
      </c:catAx>
      <c:valAx>
        <c:axId val="10024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456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Hoja3!$X$1</c:f>
              <c:strCache>
                <c:ptCount val="1"/>
                <c:pt idx="0">
                  <c:v>Variación de Reservas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Hoja3!$A$6:$A$30</c:f>
              <c:numCache>
                <c:formatCode>General</c:formatCode>
                <c:ptCount val="2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</c:numCache>
            </c:numRef>
          </c:cat>
          <c:val>
            <c:numRef>
              <c:f>Hoja3!$X$6:$X$30</c:f>
              <c:numCache>
                <c:formatCode>#,##0.0\ \ </c:formatCode>
                <c:ptCount val="25"/>
                <c:pt idx="0">
                  <c:v>-2514.5</c:v>
                </c:pt>
                <c:pt idx="1">
                  <c:v>-3433.1</c:v>
                </c:pt>
                <c:pt idx="2">
                  <c:v>-5080.5</c:v>
                </c:pt>
                <c:pt idx="3">
                  <c:v>-4204.3</c:v>
                </c:pt>
                <c:pt idx="4">
                  <c:v>-1894.7</c:v>
                </c:pt>
                <c:pt idx="5" formatCode="#,##0.00\ \ ">
                  <c:v>-556</c:v>
                </c:pt>
                <c:pt idx="6">
                  <c:v>-2075</c:v>
                </c:pt>
                <c:pt idx="7">
                  <c:v>-4100</c:v>
                </c:pt>
                <c:pt idx="8">
                  <c:v>-1381</c:v>
                </c:pt>
                <c:pt idx="9">
                  <c:v>-6789</c:v>
                </c:pt>
                <c:pt idx="10" formatCode="#,##0.00\ \ ">
                  <c:v>679</c:v>
                </c:pt>
                <c:pt idx="11">
                  <c:v>-6188</c:v>
                </c:pt>
                <c:pt idx="12">
                  <c:v>3274</c:v>
                </c:pt>
                <c:pt idx="13">
                  <c:v>4250</c:v>
                </c:pt>
                <c:pt idx="14" formatCode="#,##0.00\ \ ">
                  <c:v>664.50000000000136</c:v>
                </c:pt>
                <c:pt idx="15" formatCode="#,##0.00\ \ ">
                  <c:v>-116.19999999999845</c:v>
                </c:pt>
                <c:pt idx="16">
                  <c:v>3831.2</c:v>
                </c:pt>
                <c:pt idx="17">
                  <c:v>3206.7</c:v>
                </c:pt>
                <c:pt idx="18">
                  <c:v>3361.9</c:v>
                </c:pt>
                <c:pt idx="19">
                  <c:v>1051.7</c:v>
                </c:pt>
                <c:pt idx="20" formatCode="#,##0.00\ \ ">
                  <c:v>-545.30000000000177</c:v>
                </c:pt>
                <c:pt idx="21" formatCode="#,##0\ \ ">
                  <c:v>-12239.9</c:v>
                </c:pt>
                <c:pt idx="22">
                  <c:v>-4919.9933104944403</c:v>
                </c:pt>
                <c:pt idx="23">
                  <c:v>3510.8047933100879</c:v>
                </c:pt>
                <c:pt idx="24">
                  <c:v>5274.315605923839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3-495F-8C59-87EDC239A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5312304"/>
        <c:axId val="976630768"/>
      </c:barChart>
      <c:lineChart>
        <c:grouping val="standard"/>
        <c:varyColors val="0"/>
        <c:ser>
          <c:idx val="1"/>
          <c:order val="1"/>
          <c:tx>
            <c:strRef>
              <c:f>Hoja3!$B$3</c:f>
              <c:strCache>
                <c:ptCount val="1"/>
                <c:pt idx="0">
                  <c:v>Exportaciones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Hoja3!$B$6:$B$30</c:f>
              <c:numCache>
                <c:formatCode>#,##0.0\ \ </c:formatCode>
                <c:ptCount val="25"/>
                <c:pt idx="0">
                  <c:v>8021.4</c:v>
                </c:pt>
                <c:pt idx="1">
                  <c:v>9143</c:v>
                </c:pt>
                <c:pt idx="2">
                  <c:v>7623.7</c:v>
                </c:pt>
                <c:pt idx="3">
                  <c:v>7836.1</c:v>
                </c:pt>
                <c:pt idx="4">
                  <c:v>8107.4</c:v>
                </c:pt>
                <c:pt idx="5">
                  <c:v>8396</c:v>
                </c:pt>
                <c:pt idx="6">
                  <c:v>6852</c:v>
                </c:pt>
                <c:pt idx="7">
                  <c:v>6360</c:v>
                </c:pt>
                <c:pt idx="8">
                  <c:v>9134</c:v>
                </c:pt>
                <c:pt idx="9">
                  <c:v>9573</c:v>
                </c:pt>
                <c:pt idx="10" formatCode="#,##0\ \ ">
                  <c:v>12354</c:v>
                </c:pt>
                <c:pt idx="11" formatCode="#,##0\ \ ">
                  <c:v>11978</c:v>
                </c:pt>
                <c:pt idx="12" formatCode="#,##0\ \ ">
                  <c:v>12399</c:v>
                </c:pt>
                <c:pt idx="13" formatCode="#,##0\ \ ">
                  <c:v>13269</c:v>
                </c:pt>
                <c:pt idx="14" formatCode="#,##0\ \ ">
                  <c:v>16023.3</c:v>
                </c:pt>
                <c:pt idx="15" formatCode="#,##0\ \ ">
                  <c:v>21161.7</c:v>
                </c:pt>
                <c:pt idx="16" formatCode="#,##0\ \ ">
                  <c:v>24042.7</c:v>
                </c:pt>
                <c:pt idx="17" formatCode="#,##0\ \ ">
                  <c:v>26430.799999999999</c:v>
                </c:pt>
                <c:pt idx="18" formatCode="#,##0\ \ ">
                  <c:v>26433.7</c:v>
                </c:pt>
                <c:pt idx="19" formatCode="#,##0\ \ ">
                  <c:v>23308.6</c:v>
                </c:pt>
                <c:pt idx="20" formatCode="#,##0\ \ ">
                  <c:v>26341</c:v>
                </c:pt>
                <c:pt idx="21" formatCode="#,##0\ \ ">
                  <c:v>26542.7</c:v>
                </c:pt>
                <c:pt idx="22" formatCode="#,##0\ \ ">
                  <c:v>25650.6</c:v>
                </c:pt>
                <c:pt idx="23" formatCode="#,##0\ \ ">
                  <c:v>29565.8</c:v>
                </c:pt>
                <c:pt idx="24" formatCode="#,##0\ \ ">
                  <c:v>34550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83-495F-8C59-87EDC239A0A7}"/>
            </c:ext>
          </c:extLst>
        </c:ser>
        <c:ser>
          <c:idx val="2"/>
          <c:order val="2"/>
          <c:tx>
            <c:strRef>
              <c:f>Hoja3!$C$3</c:f>
              <c:strCache>
                <c:ptCount val="1"/>
                <c:pt idx="0">
                  <c:v>Importaciones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Hoja3!$C$6:$C$30</c:f>
              <c:numCache>
                <c:formatCode>#,##0.0\ \ </c:formatCode>
                <c:ptCount val="25"/>
                <c:pt idx="0">
                  <c:v>9704.8372822532201</c:v>
                </c:pt>
                <c:pt idx="1">
                  <c:v>8682.2966028165247</c:v>
                </c:pt>
                <c:pt idx="2">
                  <c:v>4913.7379363278378</c:v>
                </c:pt>
                <c:pt idx="3">
                  <c:v>4147.7991723953819</c:v>
                </c:pt>
                <c:pt idx="4">
                  <c:v>4220.5352733097507</c:v>
                </c:pt>
                <c:pt idx="5">
                  <c:v>3511.7726089568173</c:v>
                </c:pt>
                <c:pt idx="6">
                  <c:v>4349.4346926516719</c:v>
                </c:pt>
                <c:pt idx="7">
                  <c:v>5358.5330040712806</c:v>
                </c:pt>
                <c:pt idx="8">
                  <c:v>4901.8607755456178</c:v>
                </c:pt>
                <c:pt idx="9">
                  <c:v>3866.0618701194685</c:v>
                </c:pt>
                <c:pt idx="10">
                  <c:v>3755.5766535406792</c:v>
                </c:pt>
                <c:pt idx="11">
                  <c:v>7618.8763932456777</c:v>
                </c:pt>
                <c:pt idx="12" formatCode="#,##0\ \ ">
                  <c:v>13795</c:v>
                </c:pt>
                <c:pt idx="13" formatCode="#,##0\ \ ">
                  <c:v>15633</c:v>
                </c:pt>
                <c:pt idx="14" formatCode="#,##0\ \ ">
                  <c:v>20162.2</c:v>
                </c:pt>
                <c:pt idx="15" formatCode="#,##0\ \ ">
                  <c:v>18804.3</c:v>
                </c:pt>
                <c:pt idx="16" formatCode="#,##0\ \ ">
                  <c:v>22283.200000000001</c:v>
                </c:pt>
                <c:pt idx="17" formatCode="#,##0\ \ ">
                  <c:v>28553.5</c:v>
                </c:pt>
                <c:pt idx="18" formatCode="#,##0\ \ ">
                  <c:v>29530.9</c:v>
                </c:pt>
                <c:pt idx="19" formatCode="#,##0\ \ ">
                  <c:v>24103.200000000001</c:v>
                </c:pt>
                <c:pt idx="20" formatCode="#,##0\ \ ">
                  <c:v>23889.1</c:v>
                </c:pt>
                <c:pt idx="21" formatCode="#,##0\ \ ">
                  <c:v>19157.8</c:v>
                </c:pt>
                <c:pt idx="22">
                  <c:v>8473.1</c:v>
                </c:pt>
                <c:pt idx="23" formatCode="#,##0\ \ ">
                  <c:v>13117.7</c:v>
                </c:pt>
                <c:pt idx="24" formatCode="#,##0\ \ ">
                  <c:v>21312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83-495F-8C59-87EDC239A0A7}"/>
            </c:ext>
          </c:extLst>
        </c:ser>
        <c:ser>
          <c:idx val="3"/>
          <c:order val="3"/>
          <c:tx>
            <c:strRef>
              <c:f>Hoja3!$P$1</c:f>
              <c:strCache>
                <c:ptCount val="1"/>
                <c:pt idx="0">
                  <c:v>Cuenta Capital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Hoja3!$T$6:$T$30</c:f>
              <c:numCache>
                <c:formatCode>#,##0.0\ \ </c:formatCode>
                <c:ptCount val="25"/>
                <c:pt idx="0">
                  <c:v>2551.6999999999998</c:v>
                </c:pt>
                <c:pt idx="1">
                  <c:v>1489.7</c:v>
                </c:pt>
                <c:pt idx="2">
                  <c:v>-2323.5</c:v>
                </c:pt>
                <c:pt idx="3">
                  <c:v>-1419</c:v>
                </c:pt>
                <c:pt idx="4" formatCode="#,##0.00\ \ ">
                  <c:v>580.20000000000005</c:v>
                </c:pt>
                <c:pt idx="5" formatCode="#,##0.00\ \ ">
                  <c:v>397</c:v>
                </c:pt>
                <c:pt idx="6" formatCode="#,##0.00\ \ ">
                  <c:v>784</c:v>
                </c:pt>
                <c:pt idx="7" formatCode="#,##0.00\ \ ">
                  <c:v>138</c:v>
                </c:pt>
                <c:pt idx="8" formatCode="#,##0.00\ \ ">
                  <c:v>279</c:v>
                </c:pt>
                <c:pt idx="9">
                  <c:v>-5439</c:v>
                </c:pt>
                <c:pt idx="10">
                  <c:v>-4092</c:v>
                </c:pt>
                <c:pt idx="11">
                  <c:v>-5391</c:v>
                </c:pt>
                <c:pt idx="12">
                  <c:v>8960</c:v>
                </c:pt>
                <c:pt idx="13" formatCode="#,##0\ \ ">
                  <c:v>13496</c:v>
                </c:pt>
                <c:pt idx="14" formatCode="#,##0\ \ ">
                  <c:v>12659.980365545776</c:v>
                </c:pt>
                <c:pt idx="15">
                  <c:v>7225.1337663804024</c:v>
                </c:pt>
                <c:pt idx="16" formatCode="#,##0\ \ ">
                  <c:v>12321.147664226142</c:v>
                </c:pt>
                <c:pt idx="17" formatCode="#,##0\ \ ">
                  <c:v>16714.068401838682</c:v>
                </c:pt>
                <c:pt idx="18" formatCode="#,##0\ \ ">
                  <c:v>18280.798101405067</c:v>
                </c:pt>
                <c:pt idx="19" formatCode="#,##0\ \ ">
                  <c:v>13623.033104273316</c:v>
                </c:pt>
                <c:pt idx="20">
                  <c:v>8631.1564887885215</c:v>
                </c:pt>
                <c:pt idx="21">
                  <c:v>-5595.2486050655798</c:v>
                </c:pt>
                <c:pt idx="22" formatCode="#,##0\ \ ">
                  <c:v>-11810.273322520676</c:v>
                </c:pt>
                <c:pt idx="23">
                  <c:v>-3246.2504273942895</c:v>
                </c:pt>
                <c:pt idx="24">
                  <c:v>1863.8218376738523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83-495F-8C59-87EDC239A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312304"/>
        <c:axId val="976630768"/>
      </c:lineChart>
      <c:catAx>
        <c:axId val="91531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6630768"/>
        <c:crosses val="autoZero"/>
        <c:auto val="1"/>
        <c:lblAlgn val="ctr"/>
        <c:lblOffset val="100"/>
        <c:noMultiLvlLbl val="0"/>
      </c:catAx>
      <c:valAx>
        <c:axId val="9766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\ 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531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Hoja2!$A$8:$B$259</c:f>
              <c:multiLvlStrCache>
                <c:ptCount val="252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</c:lvl>
                <c:lvl>
                  <c:pt idx="0">
                    <c:v>1980 </c:v>
                  </c:pt>
                  <c:pt idx="12">
                    <c:v>1981 </c:v>
                  </c:pt>
                  <c:pt idx="24">
                    <c:v>1982 </c:v>
                  </c:pt>
                  <c:pt idx="36">
                    <c:v>1983 </c:v>
                  </c:pt>
                  <c:pt idx="48">
                    <c:v>1984 </c:v>
                  </c:pt>
                  <c:pt idx="60">
                    <c:v>1985 </c:v>
                  </c:pt>
                  <c:pt idx="72">
                    <c:v>1986 </c:v>
                  </c:pt>
                  <c:pt idx="84">
                    <c:v>1987 </c:v>
                  </c:pt>
                  <c:pt idx="96">
                    <c:v>1988 </c:v>
                  </c:pt>
                  <c:pt idx="108">
                    <c:v>1989 </c:v>
                  </c:pt>
                  <c:pt idx="120">
                    <c:v>1990 </c:v>
                  </c:pt>
                  <c:pt idx="132">
                    <c:v>1991 </c:v>
                  </c:pt>
                  <c:pt idx="144">
                    <c:v>1992 </c:v>
                  </c:pt>
                  <c:pt idx="156">
                    <c:v>1993 </c:v>
                  </c:pt>
                  <c:pt idx="168">
                    <c:v>1994 </c:v>
                  </c:pt>
                  <c:pt idx="180">
                    <c:v>1995 </c:v>
                  </c:pt>
                  <c:pt idx="192">
                    <c:v>1996 </c:v>
                  </c:pt>
                  <c:pt idx="204">
                    <c:v>1997 </c:v>
                  </c:pt>
                  <c:pt idx="216">
                    <c:v>1998 </c:v>
                  </c:pt>
                  <c:pt idx="228">
                    <c:v>1999 </c:v>
                  </c:pt>
                  <c:pt idx="240">
                    <c:v>2000 </c:v>
                  </c:pt>
                </c:lvl>
              </c:multiLvlStrCache>
            </c:multiLvlStrRef>
          </c:cat>
          <c:val>
            <c:numRef>
              <c:f>Hoja2!$R$8:$R$259</c:f>
              <c:numCache>
                <c:formatCode>#,##0</c:formatCode>
                <c:ptCount val="252"/>
                <c:pt idx="0">
                  <c:v>144924182.82505745</c:v>
                </c:pt>
                <c:pt idx="1">
                  <c:v>138574530.48451406</c:v>
                </c:pt>
                <c:pt idx="2">
                  <c:v>129885408.60320297</c:v>
                </c:pt>
                <c:pt idx="3">
                  <c:v>132572671.48179153</c:v>
                </c:pt>
                <c:pt idx="4">
                  <c:v>136017596.99604702</c:v>
                </c:pt>
                <c:pt idx="5">
                  <c:v>132207986.58774036</c:v>
                </c:pt>
                <c:pt idx="6">
                  <c:v>159564094.29764336</c:v>
                </c:pt>
                <c:pt idx="7">
                  <c:v>132379020.09199338</c:v>
                </c:pt>
                <c:pt idx="8">
                  <c:v>135563146.96744367</c:v>
                </c:pt>
                <c:pt idx="9">
                  <c:v>131915796.09903605</c:v>
                </c:pt>
                <c:pt idx="10">
                  <c:v>125805523.96638042</c:v>
                </c:pt>
                <c:pt idx="11">
                  <c:v>148532273.48875514</c:v>
                </c:pt>
                <c:pt idx="12">
                  <c:v>132289040.93146081</c:v>
                </c:pt>
                <c:pt idx="13">
                  <c:v>140551906.9017168</c:v>
                </c:pt>
                <c:pt idx="14">
                  <c:v>114180889.22708991</c:v>
                </c:pt>
                <c:pt idx="15">
                  <c:v>123981056.98020054</c:v>
                </c:pt>
                <c:pt idx="16">
                  <c:v>141246193.48793629</c:v>
                </c:pt>
                <c:pt idx="17">
                  <c:v>130030840.40092523</c:v>
                </c:pt>
                <c:pt idx="18">
                  <c:v>131114737.53739753</c:v>
                </c:pt>
                <c:pt idx="19">
                  <c:v>135210253.45622122</c:v>
                </c:pt>
                <c:pt idx="20">
                  <c:v>126672490.84372166</c:v>
                </c:pt>
                <c:pt idx="21">
                  <c:v>146726360.57661778</c:v>
                </c:pt>
                <c:pt idx="22">
                  <c:v>134027366.42577894</c:v>
                </c:pt>
                <c:pt idx="23">
                  <c:v>139721254.35540071</c:v>
                </c:pt>
                <c:pt idx="24">
                  <c:v>123562603.36608621</c:v>
                </c:pt>
                <c:pt idx="25">
                  <c:v>133673681.53572503</c:v>
                </c:pt>
                <c:pt idx="26">
                  <c:v>133869402.16192369</c:v>
                </c:pt>
                <c:pt idx="27">
                  <c:v>150299604.05682948</c:v>
                </c:pt>
                <c:pt idx="28">
                  <c:v>139832354.02884498</c:v>
                </c:pt>
                <c:pt idx="29">
                  <c:v>124096959.07991698</c:v>
                </c:pt>
                <c:pt idx="30">
                  <c:v>525822196.01677161</c:v>
                </c:pt>
                <c:pt idx="31">
                  <c:v>414690467.69011068</c:v>
                </c:pt>
                <c:pt idx="32">
                  <c:v>384336879.08656198</c:v>
                </c:pt>
                <c:pt idx="33">
                  <c:v>329083764.53268099</c:v>
                </c:pt>
                <c:pt idx="34">
                  <c:v>343424915.90347862</c:v>
                </c:pt>
                <c:pt idx="35">
                  <c:v>380764971.61238158</c:v>
                </c:pt>
                <c:pt idx="36">
                  <c:v>373427601.46706682</c:v>
                </c:pt>
                <c:pt idx="37">
                  <c:v>337925532.62807882</c:v>
                </c:pt>
                <c:pt idx="38">
                  <c:v>319410467.45640576</c:v>
                </c:pt>
                <c:pt idx="39">
                  <c:v>310833406.18989342</c:v>
                </c:pt>
                <c:pt idx="40">
                  <c:v>342325325.0494777</c:v>
                </c:pt>
                <c:pt idx="41">
                  <c:v>324415279.93459618</c:v>
                </c:pt>
                <c:pt idx="42">
                  <c:v>335105380.38105422</c:v>
                </c:pt>
                <c:pt idx="43">
                  <c:v>304494182.95635742</c:v>
                </c:pt>
                <c:pt idx="44">
                  <c:v>298660784.28192198</c:v>
                </c:pt>
                <c:pt idx="45">
                  <c:v>301090825.05199909</c:v>
                </c:pt>
                <c:pt idx="46">
                  <c:v>293754397.39034873</c:v>
                </c:pt>
                <c:pt idx="47">
                  <c:v>325478759.05521154</c:v>
                </c:pt>
                <c:pt idx="48">
                  <c:v>331405200.54434514</c:v>
                </c:pt>
                <c:pt idx="49">
                  <c:v>329287305.12249446</c:v>
                </c:pt>
                <c:pt idx="50">
                  <c:v>319286546.5440473</c:v>
                </c:pt>
                <c:pt idx="51">
                  <c:v>309527822.40012646</c:v>
                </c:pt>
                <c:pt idx="52">
                  <c:v>286468369.71110231</c:v>
                </c:pt>
                <c:pt idx="53">
                  <c:v>286851677.56212962</c:v>
                </c:pt>
                <c:pt idx="54">
                  <c:v>270722830.03145081</c:v>
                </c:pt>
                <c:pt idx="55">
                  <c:v>242519716.05381322</c:v>
                </c:pt>
                <c:pt idx="56">
                  <c:v>222806614.21321538</c:v>
                </c:pt>
                <c:pt idx="57">
                  <c:v>220521521.0839909</c:v>
                </c:pt>
                <c:pt idx="58">
                  <c:v>210610615.61779377</c:v>
                </c:pt>
                <c:pt idx="59">
                  <c:v>221208403.77931827</c:v>
                </c:pt>
                <c:pt idx="60">
                  <c:v>199689874.58040383</c:v>
                </c:pt>
                <c:pt idx="61">
                  <c:v>180583066.98213717</c:v>
                </c:pt>
                <c:pt idx="62">
                  <c:v>160541188.05382344</c:v>
                </c:pt>
                <c:pt idx="63">
                  <c:v>111799616.40178113</c:v>
                </c:pt>
                <c:pt idx="64">
                  <c:v>88286702.422285572</c:v>
                </c:pt>
                <c:pt idx="65">
                  <c:v>128283707.98145388</c:v>
                </c:pt>
                <c:pt idx="66">
                  <c:v>146234935.7959114</c:v>
                </c:pt>
                <c:pt idx="67">
                  <c:v>161874323.3212457</c:v>
                </c:pt>
                <c:pt idx="68">
                  <c:v>166343973.37363139</c:v>
                </c:pt>
                <c:pt idx="69">
                  <c:v>181520219.72725084</c:v>
                </c:pt>
                <c:pt idx="70">
                  <c:v>196772297.81053025</c:v>
                </c:pt>
                <c:pt idx="71">
                  <c:v>221888949.16305023</c:v>
                </c:pt>
                <c:pt idx="72">
                  <c:v>208203814.52259964</c:v>
                </c:pt>
                <c:pt idx="73">
                  <c:v>186434796.90164575</c:v>
                </c:pt>
                <c:pt idx="74">
                  <c:v>202247581.05051523</c:v>
                </c:pt>
                <c:pt idx="75">
                  <c:v>196471296.21644726</c:v>
                </c:pt>
                <c:pt idx="76">
                  <c:v>195788874.23138198</c:v>
                </c:pt>
                <c:pt idx="77">
                  <c:v>200797010.26342916</c:v>
                </c:pt>
                <c:pt idx="78">
                  <c:v>197958158.96879518</c:v>
                </c:pt>
                <c:pt idx="79">
                  <c:v>195484760.51388001</c:v>
                </c:pt>
                <c:pt idx="80">
                  <c:v>173904008.14972913</c:v>
                </c:pt>
                <c:pt idx="81">
                  <c:v>156590816.55025527</c:v>
                </c:pt>
                <c:pt idx="82">
                  <c:v>159684097.80474746</c:v>
                </c:pt>
                <c:pt idx="83">
                  <c:v>164322557.58858097</c:v>
                </c:pt>
                <c:pt idx="84">
                  <c:v>161956374.43625566</c:v>
                </c:pt>
                <c:pt idx="85">
                  <c:v>143488634.01529241</c:v>
                </c:pt>
                <c:pt idx="86">
                  <c:v>137321574.4664605</c:v>
                </c:pt>
                <c:pt idx="87">
                  <c:v>136560091.6244874</c:v>
                </c:pt>
                <c:pt idx="88">
                  <c:v>144502021.92188996</c:v>
                </c:pt>
                <c:pt idx="89">
                  <c:v>136034953.78351313</c:v>
                </c:pt>
                <c:pt idx="90">
                  <c:v>137101761.13571632</c:v>
                </c:pt>
                <c:pt idx="91">
                  <c:v>121171013.12459847</c:v>
                </c:pt>
                <c:pt idx="92">
                  <c:v>114003193.76276921</c:v>
                </c:pt>
                <c:pt idx="93">
                  <c:v>116505705.13953535</c:v>
                </c:pt>
                <c:pt idx="94">
                  <c:v>106797526.18080787</c:v>
                </c:pt>
                <c:pt idx="95">
                  <c:v>116437741.69932391</c:v>
                </c:pt>
                <c:pt idx="96">
                  <c:v>113503521.23795989</c:v>
                </c:pt>
                <c:pt idx="97">
                  <c:v>97178964.678964674</c:v>
                </c:pt>
                <c:pt idx="98">
                  <c:v>97235177.570093468</c:v>
                </c:pt>
                <c:pt idx="99">
                  <c:v>91500504.88945578</c:v>
                </c:pt>
                <c:pt idx="100">
                  <c:v>93853458.57064119</c:v>
                </c:pt>
                <c:pt idx="101">
                  <c:v>91464857.498831958</c:v>
                </c:pt>
                <c:pt idx="102">
                  <c:v>97684958.631588742</c:v>
                </c:pt>
                <c:pt idx="103">
                  <c:v>90693053.296102956</c:v>
                </c:pt>
                <c:pt idx="104">
                  <c:v>99215729.75088039</c:v>
                </c:pt>
                <c:pt idx="105">
                  <c:v>95994367.545574218</c:v>
                </c:pt>
                <c:pt idx="106">
                  <c:v>106745382.16260071</c:v>
                </c:pt>
                <c:pt idx="107">
                  <c:v>123606226.49172686</c:v>
                </c:pt>
                <c:pt idx="108">
                  <c:v>111845006.48508431</c:v>
                </c:pt>
                <c:pt idx="109">
                  <c:v>107537428.25019231</c:v>
                </c:pt>
                <c:pt idx="110">
                  <c:v>95261154.87223579</c:v>
                </c:pt>
                <c:pt idx="111">
                  <c:v>90856433.203139812</c:v>
                </c:pt>
                <c:pt idx="112">
                  <c:v>106083205.84735678</c:v>
                </c:pt>
                <c:pt idx="113">
                  <c:v>91089194.738419399</c:v>
                </c:pt>
                <c:pt idx="114">
                  <c:v>75124908.155767813</c:v>
                </c:pt>
                <c:pt idx="115">
                  <c:v>70726553.443746075</c:v>
                </c:pt>
                <c:pt idx="116">
                  <c:v>92722008.32074292</c:v>
                </c:pt>
                <c:pt idx="117">
                  <c:v>113823816.48945238</c:v>
                </c:pt>
                <c:pt idx="118">
                  <c:v>133619704.46066362</c:v>
                </c:pt>
                <c:pt idx="119">
                  <c:v>129651168.71749535</c:v>
                </c:pt>
                <c:pt idx="120">
                  <c:v>98038642.604943112</c:v>
                </c:pt>
                <c:pt idx="121">
                  <c:v>72174873.737373739</c:v>
                </c:pt>
                <c:pt idx="122">
                  <c:v>57753148.051560983</c:v>
                </c:pt>
                <c:pt idx="123">
                  <c:v>68529774.150206015</c:v>
                </c:pt>
                <c:pt idx="124">
                  <c:v>69193080.60360691</c:v>
                </c:pt>
                <c:pt idx="125">
                  <c:v>78453521.187444806</c:v>
                </c:pt>
                <c:pt idx="126">
                  <c:v>76432781.276728094</c:v>
                </c:pt>
                <c:pt idx="127">
                  <c:v>66621521.410851039</c:v>
                </c:pt>
                <c:pt idx="128">
                  <c:v>66979241.335501283</c:v>
                </c:pt>
                <c:pt idx="129">
                  <c:v>68351561.527596638</c:v>
                </c:pt>
                <c:pt idx="130">
                  <c:v>74943733.181113929</c:v>
                </c:pt>
                <c:pt idx="131">
                  <c:v>88057950.127444506</c:v>
                </c:pt>
                <c:pt idx="132">
                  <c:v>79367910.667058483</c:v>
                </c:pt>
                <c:pt idx="133">
                  <c:v>73519641.576167732</c:v>
                </c:pt>
                <c:pt idx="134">
                  <c:v>76936607.526433557</c:v>
                </c:pt>
                <c:pt idx="135">
                  <c:v>74538623.28396666</c:v>
                </c:pt>
                <c:pt idx="136">
                  <c:v>81253059.125356168</c:v>
                </c:pt>
                <c:pt idx="137">
                  <c:v>80483547.60168013</c:v>
                </c:pt>
                <c:pt idx="138">
                  <c:v>84013879.401744142</c:v>
                </c:pt>
                <c:pt idx="139">
                  <c:v>84668874.811429769</c:v>
                </c:pt>
                <c:pt idx="140">
                  <c:v>88861401.835220411</c:v>
                </c:pt>
                <c:pt idx="141">
                  <c:v>89929529.541841745</c:v>
                </c:pt>
                <c:pt idx="142">
                  <c:v>96749555.855647087</c:v>
                </c:pt>
                <c:pt idx="143">
                  <c:v>103510586.07462452</c:v>
                </c:pt>
                <c:pt idx="144">
                  <c:v>104539686.57544377</c:v>
                </c:pt>
                <c:pt idx="145">
                  <c:v>106275148.42362358</c:v>
                </c:pt>
                <c:pt idx="146">
                  <c:v>98902884.65089938</c:v>
                </c:pt>
                <c:pt idx="147">
                  <c:v>105272152.87578052</c:v>
                </c:pt>
                <c:pt idx="148">
                  <c:v>113037678.48561612</c:v>
                </c:pt>
                <c:pt idx="149">
                  <c:v>111144454.61428612</c:v>
                </c:pt>
                <c:pt idx="150">
                  <c:v>118371332.47442713</c:v>
                </c:pt>
                <c:pt idx="151">
                  <c:v>115436020.84351006</c:v>
                </c:pt>
                <c:pt idx="152">
                  <c:v>108758890.21212479</c:v>
                </c:pt>
                <c:pt idx="153">
                  <c:v>112629453.47159849</c:v>
                </c:pt>
                <c:pt idx="154">
                  <c:v>109810497.96353325</c:v>
                </c:pt>
                <c:pt idx="155">
                  <c:v>123936789.2106925</c:v>
                </c:pt>
                <c:pt idx="156">
                  <c:v>132078322.66822663</c:v>
                </c:pt>
                <c:pt idx="157">
                  <c:v>128407168.79881281</c:v>
                </c:pt>
                <c:pt idx="158">
                  <c:v>115689755.50087287</c:v>
                </c:pt>
                <c:pt idx="159">
                  <c:v>129181274.2628344</c:v>
                </c:pt>
                <c:pt idx="160">
                  <c:v>128953949.03719243</c:v>
                </c:pt>
                <c:pt idx="161">
                  <c:v>125159578.10085627</c:v>
                </c:pt>
                <c:pt idx="162">
                  <c:v>140563199.45197961</c:v>
                </c:pt>
                <c:pt idx="163">
                  <c:v>154894991.92245558</c:v>
                </c:pt>
                <c:pt idx="164">
                  <c:v>138302802.71305156</c:v>
                </c:pt>
                <c:pt idx="165">
                  <c:v>148984968.04490182</c:v>
                </c:pt>
                <c:pt idx="166">
                  <c:v>151017638.90665194</c:v>
                </c:pt>
                <c:pt idx="167">
                  <c:v>157153846.39579612</c:v>
                </c:pt>
                <c:pt idx="168">
                  <c:v>167980820.0898875</c:v>
                </c:pt>
                <c:pt idx="169">
                  <c:v>167528749.41736537</c:v>
                </c:pt>
                <c:pt idx="170">
                  <c:v>153054131.28656989</c:v>
                </c:pt>
                <c:pt idx="171">
                  <c:v>158222717.0423207</c:v>
                </c:pt>
                <c:pt idx="172">
                  <c:v>161654495.44814104</c:v>
                </c:pt>
                <c:pt idx="173">
                  <c:v>147287389.80150545</c:v>
                </c:pt>
                <c:pt idx="174">
                  <c:v>170648158.2215471</c:v>
                </c:pt>
                <c:pt idx="175">
                  <c:v>159333490.38244873</c:v>
                </c:pt>
                <c:pt idx="176">
                  <c:v>144259385.85301244</c:v>
                </c:pt>
                <c:pt idx="177">
                  <c:v>154676800.80148292</c:v>
                </c:pt>
                <c:pt idx="178">
                  <c:v>151378103.24139369</c:v>
                </c:pt>
                <c:pt idx="179">
                  <c:v>162224085.38278192</c:v>
                </c:pt>
                <c:pt idx="180">
                  <c:v>116944508.94183128</c:v>
                </c:pt>
                <c:pt idx="181">
                  <c:v>112953337.61230314</c:v>
                </c:pt>
                <c:pt idx="182">
                  <c:v>108690205.28246324</c:v>
                </c:pt>
                <c:pt idx="183">
                  <c:v>110371816.1103611</c:v>
                </c:pt>
                <c:pt idx="184">
                  <c:v>107502005.58886771</c:v>
                </c:pt>
                <c:pt idx="185">
                  <c:v>111749394.41308357</c:v>
                </c:pt>
                <c:pt idx="186">
                  <c:v>118159089.95405577</c:v>
                </c:pt>
                <c:pt idx="187">
                  <c:v>113406687.21607824</c:v>
                </c:pt>
                <c:pt idx="188">
                  <c:v>110654289.57937761</c:v>
                </c:pt>
                <c:pt idx="189">
                  <c:v>110166873.15720013</c:v>
                </c:pt>
                <c:pt idx="190">
                  <c:v>109960655.8596182</c:v>
                </c:pt>
                <c:pt idx="191">
                  <c:v>129660310.17102228</c:v>
                </c:pt>
                <c:pt idx="192">
                  <c:v>120939257.84917989</c:v>
                </c:pt>
                <c:pt idx="193">
                  <c:v>120189609.57599479</c:v>
                </c:pt>
                <c:pt idx="194">
                  <c:v>119501970.95280205</c:v>
                </c:pt>
                <c:pt idx="195">
                  <c:v>120333642.75215553</c:v>
                </c:pt>
                <c:pt idx="196">
                  <c:v>121856100.76127005</c:v>
                </c:pt>
                <c:pt idx="197">
                  <c:v>128049601.27368407</c:v>
                </c:pt>
                <c:pt idx="198">
                  <c:v>131496445.0403638</c:v>
                </c:pt>
                <c:pt idx="199">
                  <c:v>123227438.01619986</c:v>
                </c:pt>
                <c:pt idx="200">
                  <c:v>121439853.49776083</c:v>
                </c:pt>
                <c:pt idx="201">
                  <c:v>117463454.32507409</c:v>
                </c:pt>
                <c:pt idx="202">
                  <c:v>119431945.44426544</c:v>
                </c:pt>
                <c:pt idx="203">
                  <c:v>139325011.12187991</c:v>
                </c:pt>
                <c:pt idx="204">
                  <c:v>130415181.17041454</c:v>
                </c:pt>
                <c:pt idx="205">
                  <c:v>129420184.97130315</c:v>
                </c:pt>
                <c:pt idx="206">
                  <c:v>132304556.35254318</c:v>
                </c:pt>
                <c:pt idx="207">
                  <c:v>131261179.96050715</c:v>
                </c:pt>
                <c:pt idx="208">
                  <c:v>133544650.17611669</c:v>
                </c:pt>
                <c:pt idx="209">
                  <c:v>139197661.20829639</c:v>
                </c:pt>
                <c:pt idx="210">
                  <c:v>143682787.190099</c:v>
                </c:pt>
                <c:pt idx="211">
                  <c:v>141167087.35256243</c:v>
                </c:pt>
                <c:pt idx="212">
                  <c:v>140218594.72981691</c:v>
                </c:pt>
                <c:pt idx="213">
                  <c:v>140677336.64766401</c:v>
                </c:pt>
                <c:pt idx="214">
                  <c:v>140645136.66359973</c:v>
                </c:pt>
                <c:pt idx="215">
                  <c:v>158024778.11639202</c:v>
                </c:pt>
                <c:pt idx="216">
                  <c:v>144733227.21601847</c:v>
                </c:pt>
                <c:pt idx="217">
                  <c:v>142858903.88738921</c:v>
                </c:pt>
                <c:pt idx="218">
                  <c:v>142153725.67253649</c:v>
                </c:pt>
                <c:pt idx="219">
                  <c:v>144227260.23260742</c:v>
                </c:pt>
                <c:pt idx="220">
                  <c:v>144566394.67289263</c:v>
                </c:pt>
                <c:pt idx="221">
                  <c:v>147149952.89728934</c:v>
                </c:pt>
                <c:pt idx="222">
                  <c:v>152606099.9291614</c:v>
                </c:pt>
                <c:pt idx="223">
                  <c:v>148330920.19266182</c:v>
                </c:pt>
                <c:pt idx="224">
                  <c:v>140459425.62757552</c:v>
                </c:pt>
                <c:pt idx="225">
                  <c:v>140449769.69298714</c:v>
                </c:pt>
                <c:pt idx="226">
                  <c:v>142486664.35451809</c:v>
                </c:pt>
                <c:pt idx="227">
                  <c:v>160958929.83560136</c:v>
                </c:pt>
                <c:pt idx="228">
                  <c:v>146470025.01042244</c:v>
                </c:pt>
                <c:pt idx="229">
                  <c:v>143111489.2686972</c:v>
                </c:pt>
                <c:pt idx="230">
                  <c:v>143623359.26552516</c:v>
                </c:pt>
                <c:pt idx="231">
                  <c:v>141084680.22652543</c:v>
                </c:pt>
                <c:pt idx="232">
                  <c:v>140652142.80535409</c:v>
                </c:pt>
                <c:pt idx="233">
                  <c:v>139935081.02543464</c:v>
                </c:pt>
                <c:pt idx="234">
                  <c:v>146088201.69620109</c:v>
                </c:pt>
                <c:pt idx="235">
                  <c:v>142394560.27703258</c:v>
                </c:pt>
                <c:pt idx="236">
                  <c:v>139028202.68877909</c:v>
                </c:pt>
                <c:pt idx="237">
                  <c:v>138876490.99087507</c:v>
                </c:pt>
                <c:pt idx="238">
                  <c:v>138802986.66717371</c:v>
                </c:pt>
                <c:pt idx="239">
                  <c:v>165154492.29201692</c:v>
                </c:pt>
                <c:pt idx="240">
                  <c:v>144862064.92510933</c:v>
                </c:pt>
                <c:pt idx="241">
                  <c:v>138901266.75652784</c:v>
                </c:pt>
                <c:pt idx="242">
                  <c:v>136175928.68391317</c:v>
                </c:pt>
                <c:pt idx="243">
                  <c:v>138953732.22799727</c:v>
                </c:pt>
                <c:pt idx="244">
                  <c:v>135736975.38714972</c:v>
                </c:pt>
                <c:pt idx="245">
                  <c:v>138189129.37435737</c:v>
                </c:pt>
                <c:pt idx="246">
                  <c:v>143031773.64133102</c:v>
                </c:pt>
                <c:pt idx="247">
                  <c:v>136766363.90231675</c:v>
                </c:pt>
                <c:pt idx="248">
                  <c:v>136281813.46436056</c:v>
                </c:pt>
                <c:pt idx="249">
                  <c:v>133898956.86083817</c:v>
                </c:pt>
                <c:pt idx="250">
                  <c:v>134307207.89944586</c:v>
                </c:pt>
                <c:pt idx="251">
                  <c:v>151863163.23948351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8-4F53-A0FA-ABFFD5953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37488"/>
        <c:axId val="271693504"/>
      </c:lineChart>
      <c:catAx>
        <c:axId val="20143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1693504"/>
        <c:crosses val="autoZero"/>
        <c:auto val="1"/>
        <c:lblAlgn val="ctr"/>
        <c:lblOffset val="100"/>
        <c:noMultiLvlLbl val="0"/>
      </c:catAx>
      <c:valAx>
        <c:axId val="2716935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43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Hoja2!$P$7</c:f>
              <c:strCache>
                <c:ptCount val="1"/>
                <c:pt idx="0">
                  <c:v> act int S ofic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Hoja2!$A$8:$B$259</c:f>
              <c:multiLvlStrCache>
                <c:ptCount val="252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</c:lvl>
                <c:lvl>
                  <c:pt idx="0">
                    <c:v>1980 </c:v>
                  </c:pt>
                  <c:pt idx="12">
                    <c:v>1981 </c:v>
                  </c:pt>
                  <c:pt idx="24">
                    <c:v>1982 </c:v>
                  </c:pt>
                  <c:pt idx="36">
                    <c:v>1983 </c:v>
                  </c:pt>
                  <c:pt idx="48">
                    <c:v>1984 </c:v>
                  </c:pt>
                  <c:pt idx="60">
                    <c:v>1985 </c:v>
                  </c:pt>
                  <c:pt idx="72">
                    <c:v>1986 </c:v>
                  </c:pt>
                  <c:pt idx="84">
                    <c:v>1987 </c:v>
                  </c:pt>
                  <c:pt idx="96">
                    <c:v>1988 </c:v>
                  </c:pt>
                  <c:pt idx="108">
                    <c:v>1989 </c:v>
                  </c:pt>
                  <c:pt idx="120">
                    <c:v>1990 </c:v>
                  </c:pt>
                  <c:pt idx="132">
                    <c:v>1991 </c:v>
                  </c:pt>
                  <c:pt idx="144">
                    <c:v>1992 </c:v>
                  </c:pt>
                  <c:pt idx="156">
                    <c:v>1993 </c:v>
                  </c:pt>
                  <c:pt idx="168">
                    <c:v>1994 </c:v>
                  </c:pt>
                  <c:pt idx="180">
                    <c:v>1995 </c:v>
                  </c:pt>
                  <c:pt idx="192">
                    <c:v>1996 </c:v>
                  </c:pt>
                  <c:pt idx="204">
                    <c:v>1997 </c:v>
                  </c:pt>
                  <c:pt idx="216">
                    <c:v>1998 </c:v>
                  </c:pt>
                  <c:pt idx="228">
                    <c:v>1999 </c:v>
                  </c:pt>
                  <c:pt idx="240">
                    <c:v>2000 </c:v>
                  </c:pt>
                </c:lvl>
              </c:multiLvlStrCache>
            </c:multiLvlStrRef>
          </c:cat>
          <c:val>
            <c:numRef>
              <c:f>Hoja2!$P$8:$P$259</c:f>
              <c:numCache>
                <c:formatCode>#,##0</c:formatCode>
                <c:ptCount val="252"/>
                <c:pt idx="0">
                  <c:v>45648969.014233492</c:v>
                </c:pt>
                <c:pt idx="1">
                  <c:v>44242604.268208504</c:v>
                </c:pt>
                <c:pt idx="2">
                  <c:v>39495524.993895255</c:v>
                </c:pt>
                <c:pt idx="3">
                  <c:v>33361980.750053313</c:v>
                </c:pt>
                <c:pt idx="4">
                  <c:v>31255968.869019799</c:v>
                </c:pt>
                <c:pt idx="5">
                  <c:v>37035218.003328092</c:v>
                </c:pt>
                <c:pt idx="6">
                  <c:v>51471261.348394215</c:v>
                </c:pt>
                <c:pt idx="7">
                  <c:v>33181345.172195099</c:v>
                </c:pt>
                <c:pt idx="8">
                  <c:v>51573336.474607229</c:v>
                </c:pt>
                <c:pt idx="9">
                  <c:v>61695708.392340377</c:v>
                </c:pt>
                <c:pt idx="10">
                  <c:v>63128243.336862609</c:v>
                </c:pt>
                <c:pt idx="11">
                  <c:v>78071831.625230044</c:v>
                </c:pt>
                <c:pt idx="12">
                  <c:v>72320249.669907585</c:v>
                </c:pt>
                <c:pt idx="13">
                  <c:v>92360871.068095416</c:v>
                </c:pt>
                <c:pt idx="14">
                  <c:v>77013805.848461807</c:v>
                </c:pt>
                <c:pt idx="15">
                  <c:v>72200110.83681798</c:v>
                </c:pt>
                <c:pt idx="16">
                  <c:v>85186226.282501757</c:v>
                </c:pt>
                <c:pt idx="17">
                  <c:v>79439732.716525316</c:v>
                </c:pt>
                <c:pt idx="18">
                  <c:v>76986439.755993322</c:v>
                </c:pt>
                <c:pt idx="19">
                  <c:v>82999711.981566831</c:v>
                </c:pt>
                <c:pt idx="20">
                  <c:v>75309969.423070461</c:v>
                </c:pt>
                <c:pt idx="21">
                  <c:v>96923223.471137375</c:v>
                </c:pt>
                <c:pt idx="22">
                  <c:v>96549579.433716387</c:v>
                </c:pt>
                <c:pt idx="23">
                  <c:v>131388828.39721256</c:v>
                </c:pt>
                <c:pt idx="24">
                  <c:v>116998248.85689272</c:v>
                </c:pt>
                <c:pt idx="25">
                  <c:v>121354154.63512671</c:v>
                </c:pt>
                <c:pt idx="26">
                  <c:v>126889477.16743881</c:v>
                </c:pt>
                <c:pt idx="27">
                  <c:v>148269071.96849394</c:v>
                </c:pt>
                <c:pt idx="28">
                  <c:v>145297283.97090849</c:v>
                </c:pt>
                <c:pt idx="29">
                  <c:v>135847439.87661138</c:v>
                </c:pt>
                <c:pt idx="30">
                  <c:v>142639544.02515724</c:v>
                </c:pt>
                <c:pt idx="31">
                  <c:v>126599071.76008569</c:v>
                </c:pt>
                <c:pt idx="32">
                  <c:v>110919049.47789599</c:v>
                </c:pt>
                <c:pt idx="33">
                  <c:v>121956526.44569054</c:v>
                </c:pt>
                <c:pt idx="34">
                  <c:v>116414863.20947325</c:v>
                </c:pt>
                <c:pt idx="35">
                  <c:v>126109577.96488021</c:v>
                </c:pt>
                <c:pt idx="36">
                  <c:v>162665575.45997396</c:v>
                </c:pt>
                <c:pt idx="37">
                  <c:v>155598460.77524367</c:v>
                </c:pt>
                <c:pt idx="38">
                  <c:v>171334401.85102618</c:v>
                </c:pt>
                <c:pt idx="39">
                  <c:v>190423369.4701871</c:v>
                </c:pt>
                <c:pt idx="40">
                  <c:v>205401207.50557408</c:v>
                </c:pt>
                <c:pt idx="41">
                  <c:v>214530731.59759319</c:v>
                </c:pt>
                <c:pt idx="42">
                  <c:v>221477671.8225286</c:v>
                </c:pt>
                <c:pt idx="43">
                  <c:v>230496663.32014412</c:v>
                </c:pt>
                <c:pt idx="44">
                  <c:v>237233657.18889052</c:v>
                </c:pt>
                <c:pt idx="45">
                  <c:v>231412063.78553274</c:v>
                </c:pt>
                <c:pt idx="46">
                  <c:v>238386528.43112743</c:v>
                </c:pt>
                <c:pt idx="47">
                  <c:v>274425398.56104684</c:v>
                </c:pt>
                <c:pt idx="48">
                  <c:v>329938980.66989571</c:v>
                </c:pt>
                <c:pt idx="49">
                  <c:v>268190235.47959265</c:v>
                </c:pt>
                <c:pt idx="50">
                  <c:v>257459115.30939206</c:v>
                </c:pt>
                <c:pt idx="51">
                  <c:v>246785874.17375505</c:v>
                </c:pt>
                <c:pt idx="52">
                  <c:v>236356274.69651872</c:v>
                </c:pt>
                <c:pt idx="53">
                  <c:v>229754152.57039657</c:v>
                </c:pt>
                <c:pt idx="54">
                  <c:v>226699819.89731461</c:v>
                </c:pt>
                <c:pt idx="55">
                  <c:v>209054067.06521836</c:v>
                </c:pt>
                <c:pt idx="56">
                  <c:v>184545332.88954923</c:v>
                </c:pt>
                <c:pt idx="57">
                  <c:v>173329844.2568267</c:v>
                </c:pt>
                <c:pt idx="58">
                  <c:v>178296308.89436907</c:v>
                </c:pt>
                <c:pt idx="59">
                  <c:v>175965467.01247025</c:v>
                </c:pt>
                <c:pt idx="60">
                  <c:v>168627064.58023682</c:v>
                </c:pt>
                <c:pt idx="61">
                  <c:v>178172623.24796259</c:v>
                </c:pt>
                <c:pt idx="62">
                  <c:v>173891368.55923858</c:v>
                </c:pt>
                <c:pt idx="63">
                  <c:v>168186188.77426007</c:v>
                </c:pt>
                <c:pt idx="64">
                  <c:v>171940530.39002445</c:v>
                </c:pt>
                <c:pt idx="65">
                  <c:v>180049470.11094552</c:v>
                </c:pt>
                <c:pt idx="66">
                  <c:v>171185594.89291197</c:v>
                </c:pt>
                <c:pt idx="67">
                  <c:v>172485402.65045318</c:v>
                </c:pt>
                <c:pt idx="68">
                  <c:v>174731001.36283991</c:v>
                </c:pt>
                <c:pt idx="69">
                  <c:v>176771664.64310241</c:v>
                </c:pt>
                <c:pt idx="70">
                  <c:v>178201783.02527952</c:v>
                </c:pt>
                <c:pt idx="71">
                  <c:v>302290418.13046771</c:v>
                </c:pt>
                <c:pt idx="72">
                  <c:v>297447094.81144691</c:v>
                </c:pt>
                <c:pt idx="73">
                  <c:v>317141583.2836802</c:v>
                </c:pt>
                <c:pt idx="74">
                  <c:v>308523027.14249814</c:v>
                </c:pt>
                <c:pt idx="75">
                  <c:v>309109659.66397583</c:v>
                </c:pt>
                <c:pt idx="76">
                  <c:v>312034666.20531565</c:v>
                </c:pt>
                <c:pt idx="77">
                  <c:v>323012180.28056359</c:v>
                </c:pt>
                <c:pt idx="78">
                  <c:v>309537837.1047737</c:v>
                </c:pt>
                <c:pt idx="79">
                  <c:v>293619274.06140918</c:v>
                </c:pt>
                <c:pt idx="80">
                  <c:v>283197107.73200017</c:v>
                </c:pt>
                <c:pt idx="81">
                  <c:v>276489335.0455727</c:v>
                </c:pt>
                <c:pt idx="82">
                  <c:v>288642319.59069544</c:v>
                </c:pt>
                <c:pt idx="83">
                  <c:v>295200474.29370713</c:v>
                </c:pt>
                <c:pt idx="84">
                  <c:v>295215135.84864151</c:v>
                </c:pt>
                <c:pt idx="85">
                  <c:v>296123103.94709647</c:v>
                </c:pt>
                <c:pt idx="86">
                  <c:v>289752472.034513</c:v>
                </c:pt>
                <c:pt idx="87">
                  <c:v>303563065.72579157</c:v>
                </c:pt>
                <c:pt idx="88">
                  <c:v>302950480.64985281</c:v>
                </c:pt>
                <c:pt idx="89">
                  <c:v>300908387.92296708</c:v>
                </c:pt>
                <c:pt idx="90">
                  <c:v>296012511.37058413</c:v>
                </c:pt>
                <c:pt idx="91">
                  <c:v>281195544.71672636</c:v>
                </c:pt>
                <c:pt idx="92">
                  <c:v>271133527.46401149</c:v>
                </c:pt>
                <c:pt idx="93">
                  <c:v>260141253.75596535</c:v>
                </c:pt>
                <c:pt idx="94">
                  <c:v>245676747.16819835</c:v>
                </c:pt>
                <c:pt idx="95">
                  <c:v>414661918.09138286</c:v>
                </c:pt>
                <c:pt idx="96">
                  <c:v>417270519.50102639</c:v>
                </c:pt>
                <c:pt idx="97">
                  <c:v>396563356.2133562</c:v>
                </c:pt>
                <c:pt idx="98">
                  <c:v>393177451.71339571</c:v>
                </c:pt>
                <c:pt idx="99">
                  <c:v>357164073.12925172</c:v>
                </c:pt>
                <c:pt idx="100">
                  <c:v>339292187.21293408</c:v>
                </c:pt>
                <c:pt idx="101">
                  <c:v>312610025.6969319</c:v>
                </c:pt>
                <c:pt idx="102">
                  <c:v>295016634.12971401</c:v>
                </c:pt>
                <c:pt idx="103">
                  <c:v>281611472.623528</c:v>
                </c:pt>
                <c:pt idx="104">
                  <c:v>279957962.69727409</c:v>
                </c:pt>
                <c:pt idx="105">
                  <c:v>289744513.14372331</c:v>
                </c:pt>
                <c:pt idx="106">
                  <c:v>296337476.651384</c:v>
                </c:pt>
                <c:pt idx="107">
                  <c:v>311515682.77737558</c:v>
                </c:pt>
                <c:pt idx="108">
                  <c:v>345445849.54604411</c:v>
                </c:pt>
                <c:pt idx="109">
                  <c:v>341039410.61601275</c:v>
                </c:pt>
                <c:pt idx="110">
                  <c:v>350520286.75829113</c:v>
                </c:pt>
                <c:pt idx="111">
                  <c:v>298315384.32368892</c:v>
                </c:pt>
                <c:pt idx="112">
                  <c:v>269040030.59663439</c:v>
                </c:pt>
                <c:pt idx="113">
                  <c:v>285091032.4774555</c:v>
                </c:pt>
                <c:pt idx="114">
                  <c:v>185157805.08984035</c:v>
                </c:pt>
                <c:pt idx="115">
                  <c:v>177179012.29333949</c:v>
                </c:pt>
                <c:pt idx="116">
                  <c:v>188863751.15750483</c:v>
                </c:pt>
                <c:pt idx="117">
                  <c:v>191698367.3347365</c:v>
                </c:pt>
                <c:pt idx="118">
                  <c:v>202254729.48120838</c:v>
                </c:pt>
                <c:pt idx="119">
                  <c:v>166918097.50121716</c:v>
                </c:pt>
                <c:pt idx="120">
                  <c:v>526058061.98509222</c:v>
                </c:pt>
                <c:pt idx="121">
                  <c:v>685736208.2362082</c:v>
                </c:pt>
                <c:pt idx="122">
                  <c:v>299545985.14765418</c:v>
                </c:pt>
                <c:pt idx="123">
                  <c:v>277643379.21691287</c:v>
                </c:pt>
                <c:pt idx="124">
                  <c:v>237296871.54950312</c:v>
                </c:pt>
                <c:pt idx="125">
                  <c:v>215922445.55031347</c:v>
                </c:pt>
                <c:pt idx="126">
                  <c:v>202937252.15768602</c:v>
                </c:pt>
                <c:pt idx="127">
                  <c:v>192971294.89806923</c:v>
                </c:pt>
                <c:pt idx="128">
                  <c:v>158166046.00474384</c:v>
                </c:pt>
                <c:pt idx="129">
                  <c:v>144662043.3255586</c:v>
                </c:pt>
                <c:pt idx="130">
                  <c:v>130961759.96901248</c:v>
                </c:pt>
                <c:pt idx="131">
                  <c:v>129852544.14302999</c:v>
                </c:pt>
                <c:pt idx="132">
                  <c:v>182587061.19035241</c:v>
                </c:pt>
                <c:pt idx="133">
                  <c:v>166169585.59469414</c:v>
                </c:pt>
                <c:pt idx="134">
                  <c:v>158485512.0321627</c:v>
                </c:pt>
                <c:pt idx="135">
                  <c:v>152956439.03713742</c:v>
                </c:pt>
                <c:pt idx="136">
                  <c:v>150607716.68065688</c:v>
                </c:pt>
                <c:pt idx="137">
                  <c:v>146451653.12173527</c:v>
                </c:pt>
                <c:pt idx="138">
                  <c:v>142494786.14462459</c:v>
                </c:pt>
                <c:pt idx="139">
                  <c:v>145384545.37682331</c:v>
                </c:pt>
                <c:pt idx="140">
                  <c:v>144017593.40057778</c:v>
                </c:pt>
                <c:pt idx="141">
                  <c:v>141022282.8898904</c:v>
                </c:pt>
                <c:pt idx="142">
                  <c:v>141093620.56887767</c:v>
                </c:pt>
                <c:pt idx="143">
                  <c:v>143949179.43201321</c:v>
                </c:pt>
                <c:pt idx="144">
                  <c:v>134914119.00065744</c:v>
                </c:pt>
                <c:pt idx="145">
                  <c:v>132479664.42370906</c:v>
                </c:pt>
                <c:pt idx="146">
                  <c:v>128779237.40812331</c:v>
                </c:pt>
                <c:pt idx="147">
                  <c:v>125844999.4590856</c:v>
                </c:pt>
                <c:pt idx="148">
                  <c:v>124363404.32108454</c:v>
                </c:pt>
                <c:pt idx="149">
                  <c:v>123449585.00656514</c:v>
                </c:pt>
                <c:pt idx="150">
                  <c:v>122727635.66046669</c:v>
                </c:pt>
                <c:pt idx="151">
                  <c:v>119534455.49172652</c:v>
                </c:pt>
                <c:pt idx="152">
                  <c:v>127284065.31757854</c:v>
                </c:pt>
                <c:pt idx="153">
                  <c:v>105856275.45974979</c:v>
                </c:pt>
                <c:pt idx="154">
                  <c:v>104846677.98538801</c:v>
                </c:pt>
                <c:pt idx="155">
                  <c:v>104373830.00829618</c:v>
                </c:pt>
                <c:pt idx="156">
                  <c:v>114263515.95747057</c:v>
                </c:pt>
                <c:pt idx="157">
                  <c:v>112832198.63925372</c:v>
                </c:pt>
                <c:pt idx="158">
                  <c:v>111042875.07301314</c:v>
                </c:pt>
                <c:pt idx="159">
                  <c:v>113263907.78871004</c:v>
                </c:pt>
                <c:pt idx="160">
                  <c:v>111671746.89704686</c:v>
                </c:pt>
                <c:pt idx="161">
                  <c:v>109731169.48530354</c:v>
                </c:pt>
                <c:pt idx="162">
                  <c:v>111356573.85138564</c:v>
                </c:pt>
                <c:pt idx="163">
                  <c:v>112103958.36900605</c:v>
                </c:pt>
                <c:pt idx="164">
                  <c:v>111736110.37858251</c:v>
                </c:pt>
                <c:pt idx="165">
                  <c:v>110880666.3526924</c:v>
                </c:pt>
                <c:pt idx="166">
                  <c:v>112253557.44857502</c:v>
                </c:pt>
                <c:pt idx="167">
                  <c:v>119868964.72909626</c:v>
                </c:pt>
                <c:pt idx="168">
                  <c:v>118572850.03702544</c:v>
                </c:pt>
                <c:pt idx="169">
                  <c:v>121880163.19006194</c:v>
                </c:pt>
                <c:pt idx="170">
                  <c:v>121865297.27649087</c:v>
                </c:pt>
                <c:pt idx="171">
                  <c:v>122424504.86397259</c:v>
                </c:pt>
                <c:pt idx="172">
                  <c:v>122386588.26343071</c:v>
                </c:pt>
                <c:pt idx="173">
                  <c:v>122552161.39761366</c:v>
                </c:pt>
                <c:pt idx="174">
                  <c:v>132317921.03291492</c:v>
                </c:pt>
                <c:pt idx="175">
                  <c:v>122335815.39217895</c:v>
                </c:pt>
                <c:pt idx="176">
                  <c:v>127667814.1486152</c:v>
                </c:pt>
                <c:pt idx="177">
                  <c:v>127927531.91126904</c:v>
                </c:pt>
                <c:pt idx="178">
                  <c:v>127760223.06713261</c:v>
                </c:pt>
                <c:pt idx="179">
                  <c:v>84403468.372653201</c:v>
                </c:pt>
                <c:pt idx="180">
                  <c:v>84914911.814620301</c:v>
                </c:pt>
                <c:pt idx="181">
                  <c:v>88008359.268336937</c:v>
                </c:pt>
                <c:pt idx="182">
                  <c:v>92494378.391461998</c:v>
                </c:pt>
                <c:pt idx="183">
                  <c:v>108102899.05057801</c:v>
                </c:pt>
                <c:pt idx="184">
                  <c:v>105173903.69271596</c:v>
                </c:pt>
                <c:pt idx="185">
                  <c:v>104668305.48692349</c:v>
                </c:pt>
                <c:pt idx="186">
                  <c:v>101171630.20568444</c:v>
                </c:pt>
                <c:pt idx="187">
                  <c:v>97131938.956235051</c:v>
                </c:pt>
                <c:pt idx="188">
                  <c:v>98089919.955891669</c:v>
                </c:pt>
                <c:pt idx="189">
                  <c:v>92939623.654739231</c:v>
                </c:pt>
                <c:pt idx="190">
                  <c:v>85974380.466613233</c:v>
                </c:pt>
                <c:pt idx="191">
                  <c:v>84444880.508943573</c:v>
                </c:pt>
                <c:pt idx="192">
                  <c:v>79101951.576334298</c:v>
                </c:pt>
                <c:pt idx="193">
                  <c:v>79177403.392021984</c:v>
                </c:pt>
                <c:pt idx="194">
                  <c:v>85520256.598570123</c:v>
                </c:pt>
                <c:pt idx="195">
                  <c:v>83477544.486866012</c:v>
                </c:pt>
                <c:pt idx="196">
                  <c:v>85653150.08980827</c:v>
                </c:pt>
                <c:pt idx="197">
                  <c:v>85334082.049415261</c:v>
                </c:pt>
                <c:pt idx="198">
                  <c:v>84517573.87432909</c:v>
                </c:pt>
                <c:pt idx="199">
                  <c:v>80410700.225069851</c:v>
                </c:pt>
                <c:pt idx="200">
                  <c:v>84347143.931693226</c:v>
                </c:pt>
                <c:pt idx="201">
                  <c:v>81574405.273887411</c:v>
                </c:pt>
                <c:pt idx="202">
                  <c:v>82062742.659443527</c:v>
                </c:pt>
                <c:pt idx="203">
                  <c:v>81655471.96491842</c:v>
                </c:pt>
                <c:pt idx="204">
                  <c:v>80150376.5343813</c:v>
                </c:pt>
                <c:pt idx="205">
                  <c:v>75744852.636377692</c:v>
                </c:pt>
                <c:pt idx="206">
                  <c:v>86145401.14841418</c:v>
                </c:pt>
                <c:pt idx="207">
                  <c:v>82201264.605056643</c:v>
                </c:pt>
                <c:pt idx="208">
                  <c:v>79510857.631143585</c:v>
                </c:pt>
                <c:pt idx="209">
                  <c:v>79063680.325479865</c:v>
                </c:pt>
                <c:pt idx="210">
                  <c:v>76255410.65592581</c:v>
                </c:pt>
                <c:pt idx="211">
                  <c:v>78350407.650558144</c:v>
                </c:pt>
                <c:pt idx="212">
                  <c:v>80335642.945145324</c:v>
                </c:pt>
                <c:pt idx="213">
                  <c:v>85868710.547903582</c:v>
                </c:pt>
                <c:pt idx="214">
                  <c:v>76467577.096354589</c:v>
                </c:pt>
                <c:pt idx="215">
                  <c:v>77870026.239029542</c:v>
                </c:pt>
                <c:pt idx="216">
                  <c:v>81581190.486260638</c:v>
                </c:pt>
                <c:pt idx="217">
                  <c:v>80542803.429057598</c:v>
                </c:pt>
                <c:pt idx="218">
                  <c:v>75379595.089411467</c:v>
                </c:pt>
                <c:pt idx="219">
                  <c:v>78409420.09075065</c:v>
                </c:pt>
                <c:pt idx="220">
                  <c:v>75896280.147694245</c:v>
                </c:pt>
                <c:pt idx="221">
                  <c:v>72879842.864199862</c:v>
                </c:pt>
                <c:pt idx="222">
                  <c:v>71327124.938810095</c:v>
                </c:pt>
                <c:pt idx="223">
                  <c:v>69187444.256339267</c:v>
                </c:pt>
                <c:pt idx="224">
                  <c:v>74883865.917878956</c:v>
                </c:pt>
                <c:pt idx="225">
                  <c:v>76132587.419171646</c:v>
                </c:pt>
                <c:pt idx="226">
                  <c:v>75654221.778292492</c:v>
                </c:pt>
                <c:pt idx="227">
                  <c:v>70498810.272948951</c:v>
                </c:pt>
                <c:pt idx="228">
                  <c:v>69262571.024256378</c:v>
                </c:pt>
                <c:pt idx="229">
                  <c:v>69846411.414310828</c:v>
                </c:pt>
                <c:pt idx="230">
                  <c:v>70027999.087437153</c:v>
                </c:pt>
                <c:pt idx="231">
                  <c:v>68610813.984985292</c:v>
                </c:pt>
                <c:pt idx="232">
                  <c:v>68755356.108571663</c:v>
                </c:pt>
                <c:pt idx="233">
                  <c:v>66460745.15648286</c:v>
                </c:pt>
                <c:pt idx="234">
                  <c:v>72128244.465578631</c:v>
                </c:pt>
                <c:pt idx="235">
                  <c:v>77555941.567329466</c:v>
                </c:pt>
                <c:pt idx="236">
                  <c:v>79011953.232379854</c:v>
                </c:pt>
                <c:pt idx="237">
                  <c:v>68657385.100212783</c:v>
                </c:pt>
                <c:pt idx="238">
                  <c:v>63823905.576993898</c:v>
                </c:pt>
                <c:pt idx="239">
                  <c:v>63588947.625089243</c:v>
                </c:pt>
                <c:pt idx="240">
                  <c:v>60215467.078687832</c:v>
                </c:pt>
                <c:pt idx="241">
                  <c:v>59284139.055454776</c:v>
                </c:pt>
                <c:pt idx="242">
                  <c:v>60284870.651275523</c:v>
                </c:pt>
                <c:pt idx="243">
                  <c:v>65829186.90745417</c:v>
                </c:pt>
                <c:pt idx="244">
                  <c:v>57673650.543955892</c:v>
                </c:pt>
                <c:pt idx="245">
                  <c:v>59420601.872093379</c:v>
                </c:pt>
                <c:pt idx="246">
                  <c:v>59802852.139104329</c:v>
                </c:pt>
                <c:pt idx="247">
                  <c:v>59417751.479289941</c:v>
                </c:pt>
                <c:pt idx="248">
                  <c:v>56464383.684104264</c:v>
                </c:pt>
                <c:pt idx="249">
                  <c:v>54258091.036695413</c:v>
                </c:pt>
                <c:pt idx="250">
                  <c:v>54151506.297229216</c:v>
                </c:pt>
                <c:pt idx="251">
                  <c:v>75334258.044991434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7-4BD9-A7FA-6472C89639A6}"/>
            </c:ext>
          </c:extLst>
        </c:ser>
        <c:ser>
          <c:idx val="1"/>
          <c:order val="1"/>
          <c:tx>
            <c:strRef>
              <c:f>Hoja2!$Q$7</c:f>
              <c:strCache>
                <c:ptCount val="1"/>
                <c:pt idx="0">
                  <c:v> act int bancos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Hoja2!$A$8:$B$259</c:f>
              <c:multiLvlStrCache>
                <c:ptCount val="252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</c:lvl>
                <c:lvl>
                  <c:pt idx="0">
                    <c:v>1980 </c:v>
                  </c:pt>
                  <c:pt idx="12">
                    <c:v>1981 </c:v>
                  </c:pt>
                  <c:pt idx="24">
                    <c:v>1982 </c:v>
                  </c:pt>
                  <c:pt idx="36">
                    <c:v>1983 </c:v>
                  </c:pt>
                  <c:pt idx="48">
                    <c:v>1984 </c:v>
                  </c:pt>
                  <c:pt idx="60">
                    <c:v>1985 </c:v>
                  </c:pt>
                  <c:pt idx="72">
                    <c:v>1986 </c:v>
                  </c:pt>
                  <c:pt idx="84">
                    <c:v>1987 </c:v>
                  </c:pt>
                  <c:pt idx="96">
                    <c:v>1988 </c:v>
                  </c:pt>
                  <c:pt idx="108">
                    <c:v>1989 </c:v>
                  </c:pt>
                  <c:pt idx="120">
                    <c:v>1990 </c:v>
                  </c:pt>
                  <c:pt idx="132">
                    <c:v>1991 </c:v>
                  </c:pt>
                  <c:pt idx="144">
                    <c:v>1992 </c:v>
                  </c:pt>
                  <c:pt idx="156">
                    <c:v>1993 </c:v>
                  </c:pt>
                  <c:pt idx="168">
                    <c:v>1994 </c:v>
                  </c:pt>
                  <c:pt idx="180">
                    <c:v>1995 </c:v>
                  </c:pt>
                  <c:pt idx="192">
                    <c:v>1996 </c:v>
                  </c:pt>
                  <c:pt idx="204">
                    <c:v>1997 </c:v>
                  </c:pt>
                  <c:pt idx="216">
                    <c:v>1998 </c:v>
                  </c:pt>
                  <c:pt idx="228">
                    <c:v>1999 </c:v>
                  </c:pt>
                  <c:pt idx="240">
                    <c:v>2000 </c:v>
                  </c:pt>
                </c:lvl>
              </c:multiLvlStrCache>
            </c:multiLvlStrRef>
          </c:cat>
          <c:val>
            <c:numRef>
              <c:f>Hoja2!$Q$8:$Q$259</c:f>
              <c:numCache>
                <c:formatCode>#,##0</c:formatCode>
                <c:ptCount val="252"/>
                <c:pt idx="0">
                  <c:v>7018680.4880682444</c:v>
                </c:pt>
                <c:pt idx="1">
                  <c:v>6746212.7075637085</c:v>
                </c:pt>
                <c:pt idx="2">
                  <c:v>8413189.4292377625</c:v>
                </c:pt>
                <c:pt idx="3">
                  <c:v>49237553.504404657</c:v>
                </c:pt>
                <c:pt idx="4">
                  <c:v>63629794.129581563</c:v>
                </c:pt>
                <c:pt idx="5">
                  <c:v>62849156.198050611</c:v>
                </c:pt>
                <c:pt idx="6">
                  <c:v>67344087.690599293</c:v>
                </c:pt>
                <c:pt idx="7">
                  <c:v>60959465.034512907</c:v>
                </c:pt>
                <c:pt idx="8">
                  <c:v>58633840.354571305</c:v>
                </c:pt>
                <c:pt idx="9">
                  <c:v>55736852.547393776</c:v>
                </c:pt>
                <c:pt idx="10">
                  <c:v>61670784.152255476</c:v>
                </c:pt>
                <c:pt idx="11">
                  <c:v>74439265.957319573</c:v>
                </c:pt>
                <c:pt idx="12">
                  <c:v>77115592.365862444</c:v>
                </c:pt>
                <c:pt idx="13">
                  <c:v>85413066.021431059</c:v>
                </c:pt>
                <c:pt idx="14">
                  <c:v>84134145.015762597</c:v>
                </c:pt>
                <c:pt idx="15">
                  <c:v>75162476.699078053</c:v>
                </c:pt>
                <c:pt idx="16">
                  <c:v>91787303.818224415</c:v>
                </c:pt>
                <c:pt idx="17">
                  <c:v>89668465.690053985</c:v>
                </c:pt>
                <c:pt idx="18">
                  <c:v>94933364.416987225</c:v>
                </c:pt>
                <c:pt idx="19">
                  <c:v>90531394.009216607</c:v>
                </c:pt>
                <c:pt idx="20">
                  <c:v>86831759.685494438</c:v>
                </c:pt>
                <c:pt idx="21">
                  <c:v>94941893.694036976</c:v>
                </c:pt>
                <c:pt idx="22">
                  <c:v>122485487.50148089</c:v>
                </c:pt>
                <c:pt idx="23">
                  <c:v>114024390.24390246</c:v>
                </c:pt>
                <c:pt idx="24">
                  <c:v>113780523.39721765</c:v>
                </c:pt>
                <c:pt idx="25">
                  <c:v>123155998.05955325</c:v>
                </c:pt>
                <c:pt idx="26">
                  <c:v>136320317.67041695</c:v>
                </c:pt>
                <c:pt idx="27">
                  <c:v>154350081.51771158</c:v>
                </c:pt>
                <c:pt idx="28">
                  <c:v>153435098.82072565</c:v>
                </c:pt>
                <c:pt idx="29">
                  <c:v>163727935.71605387</c:v>
                </c:pt>
                <c:pt idx="30">
                  <c:v>560883451.25786173</c:v>
                </c:pt>
                <c:pt idx="31">
                  <c:v>530224919.67154592</c:v>
                </c:pt>
                <c:pt idx="32">
                  <c:v>470946374.54864848</c:v>
                </c:pt>
                <c:pt idx="33">
                  <c:v>437717854.90051746</c:v>
                </c:pt>
                <c:pt idx="34">
                  <c:v>459585059.01339716</c:v>
                </c:pt>
                <c:pt idx="35">
                  <c:v>420452268.3728534</c:v>
                </c:pt>
                <c:pt idx="36">
                  <c:v>382733169.6523295</c:v>
                </c:pt>
                <c:pt idx="37">
                  <c:v>344260756.47265464</c:v>
                </c:pt>
                <c:pt idx="38">
                  <c:v>312692062.03829795</c:v>
                </c:pt>
                <c:pt idx="39">
                  <c:v>302795506.20737892</c:v>
                </c:pt>
                <c:pt idx="40">
                  <c:v>289295287.72202325</c:v>
                </c:pt>
                <c:pt idx="41">
                  <c:v>264215175.25380766</c:v>
                </c:pt>
                <c:pt idx="42">
                  <c:v>254817031.65450469</c:v>
                </c:pt>
                <c:pt idx="43">
                  <c:v>221064062.94087154</c:v>
                </c:pt>
                <c:pt idx="44">
                  <c:v>221030066.12276238</c:v>
                </c:pt>
                <c:pt idx="45">
                  <c:v>203293274.78622603</c:v>
                </c:pt>
                <c:pt idx="46">
                  <c:v>176573999.236332</c:v>
                </c:pt>
                <c:pt idx="47">
                  <c:v>229547449.39044574</c:v>
                </c:pt>
                <c:pt idx="48">
                  <c:v>198863021.11532214</c:v>
                </c:pt>
                <c:pt idx="49">
                  <c:v>180467205.52538726</c:v>
                </c:pt>
                <c:pt idx="50">
                  <c:v>158563938.24643171</c:v>
                </c:pt>
                <c:pt idx="51">
                  <c:v>140060042.66189134</c:v>
                </c:pt>
                <c:pt idx="52">
                  <c:v>137270280.20004651</c:v>
                </c:pt>
                <c:pt idx="53">
                  <c:v>135913692.67163533</c:v>
                </c:pt>
                <c:pt idx="54">
                  <c:v>136511921.72253436</c:v>
                </c:pt>
                <c:pt idx="55">
                  <c:v>120215848.11855017</c:v>
                </c:pt>
                <c:pt idx="56">
                  <c:v>106452598.02424571</c:v>
                </c:pt>
                <c:pt idx="57">
                  <c:v>204678909.10763994</c:v>
                </c:pt>
                <c:pt idx="58">
                  <c:v>187049866.69201106</c:v>
                </c:pt>
                <c:pt idx="59">
                  <c:v>198600206.06103674</c:v>
                </c:pt>
                <c:pt idx="60">
                  <c:v>177189999.83299655</c:v>
                </c:pt>
                <c:pt idx="61">
                  <c:v>164970044.13819823</c:v>
                </c:pt>
                <c:pt idx="62">
                  <c:v>130436385.5158079</c:v>
                </c:pt>
                <c:pt idx="63">
                  <c:v>145508521.11902532</c:v>
                </c:pt>
                <c:pt idx="64">
                  <c:v>140644006.43060753</c:v>
                </c:pt>
                <c:pt idx="65">
                  <c:v>135606836.81073025</c:v>
                </c:pt>
                <c:pt idx="66">
                  <c:v>161057430.37450355</c:v>
                </c:pt>
                <c:pt idx="67">
                  <c:v>168099105.9566642</c:v>
                </c:pt>
                <c:pt idx="68">
                  <c:v>184672454.87331152</c:v>
                </c:pt>
                <c:pt idx="69">
                  <c:v>190517441.30526718</c:v>
                </c:pt>
                <c:pt idx="70">
                  <c:v>183927630.67300987</c:v>
                </c:pt>
                <c:pt idx="71">
                  <c:v>195949274.9879452</c:v>
                </c:pt>
                <c:pt idx="72">
                  <c:v>192584456.07114202</c:v>
                </c:pt>
                <c:pt idx="73">
                  <c:v>204063816.23554066</c:v>
                </c:pt>
                <c:pt idx="74">
                  <c:v>200434586.26539335</c:v>
                </c:pt>
                <c:pt idx="75">
                  <c:v>203764280.65255129</c:v>
                </c:pt>
                <c:pt idx="76">
                  <c:v>203271195.11544591</c:v>
                </c:pt>
                <c:pt idx="77">
                  <c:v>200834381.97056463</c:v>
                </c:pt>
                <c:pt idx="78">
                  <c:v>187503616.4496797</c:v>
                </c:pt>
                <c:pt idx="79">
                  <c:v>177081730.42672935</c:v>
                </c:pt>
                <c:pt idx="80">
                  <c:v>174641054.81412581</c:v>
                </c:pt>
                <c:pt idx="81">
                  <c:v>178563885.32172349</c:v>
                </c:pt>
                <c:pt idx="82">
                  <c:v>182411877.56558987</c:v>
                </c:pt>
                <c:pt idx="83">
                  <c:v>195654485.08128554</c:v>
                </c:pt>
                <c:pt idx="84">
                  <c:v>296776614.23385769</c:v>
                </c:pt>
                <c:pt idx="85">
                  <c:v>289717627.6090101</c:v>
                </c:pt>
                <c:pt idx="86">
                  <c:v>276626732.33306605</c:v>
                </c:pt>
                <c:pt idx="87">
                  <c:v>282280470.68385863</c:v>
                </c:pt>
                <c:pt idx="88">
                  <c:v>280203859.38774788</c:v>
                </c:pt>
                <c:pt idx="89">
                  <c:v>274898865.52069479</c:v>
                </c:pt>
                <c:pt idx="90">
                  <c:v>263607479.98031586</c:v>
                </c:pt>
                <c:pt idx="91">
                  <c:v>256709646.12096658</c:v>
                </c:pt>
                <c:pt idx="92">
                  <c:v>254865627.12819675</c:v>
                </c:pt>
                <c:pt idx="93">
                  <c:v>239188240.14611444</c:v>
                </c:pt>
                <c:pt idx="94">
                  <c:v>230261184.72608107</c:v>
                </c:pt>
                <c:pt idx="95">
                  <c:v>384429490.54734945</c:v>
                </c:pt>
                <c:pt idx="96">
                  <c:v>368425248.69729996</c:v>
                </c:pt>
                <c:pt idx="97">
                  <c:v>363356921.20692116</c:v>
                </c:pt>
                <c:pt idx="98">
                  <c:v>352968965.73208731</c:v>
                </c:pt>
                <c:pt idx="99">
                  <c:v>328213557.61054426</c:v>
                </c:pt>
                <c:pt idx="100">
                  <c:v>330780075.32610697</c:v>
                </c:pt>
                <c:pt idx="101">
                  <c:v>341228519.7009812</c:v>
                </c:pt>
                <c:pt idx="102">
                  <c:v>332825465.5882991</c:v>
                </c:pt>
                <c:pt idx="103">
                  <c:v>317748629.35534787</c:v>
                </c:pt>
                <c:pt idx="104">
                  <c:v>367340765.61888617</c:v>
                </c:pt>
                <c:pt idx="105">
                  <c:v>363879919.42239422</c:v>
                </c:pt>
                <c:pt idx="106">
                  <c:v>367510267.73079753</c:v>
                </c:pt>
                <c:pt idx="107">
                  <c:v>404068117.04250479</c:v>
                </c:pt>
                <c:pt idx="108">
                  <c:v>397796692.60700393</c:v>
                </c:pt>
                <c:pt idx="109">
                  <c:v>400004438.13243383</c:v>
                </c:pt>
                <c:pt idx="110">
                  <c:v>367825669.16589755</c:v>
                </c:pt>
                <c:pt idx="111">
                  <c:v>351407796.44306248</c:v>
                </c:pt>
                <c:pt idx="112">
                  <c:v>331781722.76049632</c:v>
                </c:pt>
                <c:pt idx="113">
                  <c:v>301987829.31317604</c:v>
                </c:pt>
                <c:pt idx="114">
                  <c:v>203554455.28020838</c:v>
                </c:pt>
                <c:pt idx="115">
                  <c:v>377966650.87957519</c:v>
                </c:pt>
                <c:pt idx="116">
                  <c:v>424799125.83462191</c:v>
                </c:pt>
                <c:pt idx="117">
                  <c:v>427638139.82420355</c:v>
                </c:pt>
                <c:pt idx="118">
                  <c:v>413256777.31050444</c:v>
                </c:pt>
                <c:pt idx="119">
                  <c:v>330222916.67032838</c:v>
                </c:pt>
                <c:pt idx="120">
                  <c:v>255561592.78148293</c:v>
                </c:pt>
                <c:pt idx="121">
                  <c:v>251976252.91375288</c:v>
                </c:pt>
                <c:pt idx="122">
                  <c:v>234916424.50885427</c:v>
                </c:pt>
                <c:pt idx="123">
                  <c:v>346146225.33687919</c:v>
                </c:pt>
                <c:pt idx="124">
                  <c:v>349427800.26990551</c:v>
                </c:pt>
                <c:pt idx="125">
                  <c:v>333972338.91294515</c:v>
                </c:pt>
                <c:pt idx="126">
                  <c:v>340407549.95723504</c:v>
                </c:pt>
                <c:pt idx="127">
                  <c:v>313281637.63348073</c:v>
                </c:pt>
                <c:pt idx="128">
                  <c:v>314223822.92777598</c:v>
                </c:pt>
                <c:pt idx="129">
                  <c:v>330119948.91415524</c:v>
                </c:pt>
                <c:pt idx="130">
                  <c:v>326328054.92130804</c:v>
                </c:pt>
                <c:pt idx="131">
                  <c:v>353398788.12075943</c:v>
                </c:pt>
                <c:pt idx="132">
                  <c:v>341526029.06937319</c:v>
                </c:pt>
                <c:pt idx="133">
                  <c:v>281569706.27971512</c:v>
                </c:pt>
                <c:pt idx="134">
                  <c:v>317110357.34208786</c:v>
                </c:pt>
                <c:pt idx="135">
                  <c:v>302464084.08335406</c:v>
                </c:pt>
                <c:pt idx="136">
                  <c:v>297814040.6464656</c:v>
                </c:pt>
                <c:pt idx="137">
                  <c:v>292443705.29706889</c:v>
                </c:pt>
                <c:pt idx="138">
                  <c:v>287782494.57661259</c:v>
                </c:pt>
                <c:pt idx="139">
                  <c:v>287543498.70517403</c:v>
                </c:pt>
                <c:pt idx="140">
                  <c:v>284915664.41374302</c:v>
                </c:pt>
                <c:pt idx="141">
                  <c:v>285636580.46480286</c:v>
                </c:pt>
                <c:pt idx="142">
                  <c:v>287953220.34620619</c:v>
                </c:pt>
                <c:pt idx="143">
                  <c:v>237214858.74427891</c:v>
                </c:pt>
                <c:pt idx="144">
                  <c:v>233770224.66715974</c:v>
                </c:pt>
                <c:pt idx="145">
                  <c:v>231843532.65194017</c:v>
                </c:pt>
                <c:pt idx="146">
                  <c:v>229945483.42218336</c:v>
                </c:pt>
                <c:pt idx="147">
                  <c:v>229404945.53782085</c:v>
                </c:pt>
                <c:pt idx="148">
                  <c:v>230169110.06522438</c:v>
                </c:pt>
                <c:pt idx="149">
                  <c:v>230733127.11450177</c:v>
                </c:pt>
                <c:pt idx="150">
                  <c:v>228628533.27240911</c:v>
                </c:pt>
                <c:pt idx="151">
                  <c:v>227360112.13075113</c:v>
                </c:pt>
                <c:pt idx="152">
                  <c:v>228935379.51286289</c:v>
                </c:pt>
                <c:pt idx="153">
                  <c:v>215651429.37499434</c:v>
                </c:pt>
                <c:pt idx="154">
                  <c:v>228186302.84202257</c:v>
                </c:pt>
                <c:pt idx="155">
                  <c:v>263553431.54415828</c:v>
                </c:pt>
                <c:pt idx="156">
                  <c:v>265264804.25473011</c:v>
                </c:pt>
                <c:pt idx="157">
                  <c:v>266850312.36873809</c:v>
                </c:pt>
                <c:pt idx="158">
                  <c:v>269248836.46487725</c:v>
                </c:pt>
                <c:pt idx="159">
                  <c:v>269693681.37550539</c:v>
                </c:pt>
                <c:pt idx="160">
                  <c:v>265125966.78432164</c:v>
                </c:pt>
                <c:pt idx="161">
                  <c:v>267343644.62125546</c:v>
                </c:pt>
                <c:pt idx="162">
                  <c:v>266734853.65026045</c:v>
                </c:pt>
                <c:pt idx="163">
                  <c:v>268546807.74806142</c:v>
                </c:pt>
                <c:pt idx="164">
                  <c:v>267813145.43095535</c:v>
                </c:pt>
                <c:pt idx="165">
                  <c:v>266582351.63929182</c:v>
                </c:pt>
                <c:pt idx="166">
                  <c:v>245835452.67183414</c:v>
                </c:pt>
                <c:pt idx="167">
                  <c:v>236232196.00980929</c:v>
                </c:pt>
                <c:pt idx="168">
                  <c:v>235791333.63847461</c:v>
                </c:pt>
                <c:pt idx="169">
                  <c:v>236024530.88094351</c:v>
                </c:pt>
                <c:pt idx="170">
                  <c:v>235877081.22830909</c:v>
                </c:pt>
                <c:pt idx="171">
                  <c:v>234667076.38883817</c:v>
                </c:pt>
                <c:pt idx="172">
                  <c:v>234067859.35249743</c:v>
                </c:pt>
                <c:pt idx="173">
                  <c:v>234350762.41665518</c:v>
                </c:pt>
                <c:pt idx="174">
                  <c:v>228607987.02698264</c:v>
                </c:pt>
                <c:pt idx="175">
                  <c:v>228423151.77089947</c:v>
                </c:pt>
                <c:pt idx="176">
                  <c:v>227373110.6730063</c:v>
                </c:pt>
                <c:pt idx="177">
                  <c:v>226477298.07782009</c:v>
                </c:pt>
                <c:pt idx="178">
                  <c:v>226094564.76211098</c:v>
                </c:pt>
                <c:pt idx="179">
                  <c:v>226811946.07849571</c:v>
                </c:pt>
                <c:pt idx="180">
                  <c:v>225851520.15758413</c:v>
                </c:pt>
                <c:pt idx="181">
                  <c:v>230137329.24588129</c:v>
                </c:pt>
                <c:pt idx="182">
                  <c:v>240837983.61162308</c:v>
                </c:pt>
                <c:pt idx="183">
                  <c:v>243391542.3165817</c:v>
                </c:pt>
                <c:pt idx="184">
                  <c:v>243198958.10741702</c:v>
                </c:pt>
                <c:pt idx="185">
                  <c:v>243299690.31137651</c:v>
                </c:pt>
                <c:pt idx="186">
                  <c:v>242137291.42043036</c:v>
                </c:pt>
                <c:pt idx="187">
                  <c:v>242140183.46738842</c:v>
                </c:pt>
                <c:pt idx="188">
                  <c:v>241369183.43656811</c:v>
                </c:pt>
                <c:pt idx="189">
                  <c:v>239588446.45907754</c:v>
                </c:pt>
                <c:pt idx="190">
                  <c:v>245551342.27466485</c:v>
                </c:pt>
                <c:pt idx="191">
                  <c:v>239774003.77753291</c:v>
                </c:pt>
                <c:pt idx="192">
                  <c:v>243640453.59021452</c:v>
                </c:pt>
                <c:pt idx="193">
                  <c:v>244047239.68141967</c:v>
                </c:pt>
                <c:pt idx="194">
                  <c:v>244807795.880234</c:v>
                </c:pt>
                <c:pt idx="195">
                  <c:v>244279751.91871309</c:v>
                </c:pt>
                <c:pt idx="196">
                  <c:v>237818319.28537428</c:v>
                </c:pt>
                <c:pt idx="197">
                  <c:v>237191124.61422455</c:v>
                </c:pt>
                <c:pt idx="198">
                  <c:v>235752927.32126728</c:v>
                </c:pt>
                <c:pt idx="199">
                  <c:v>235876334.01919416</c:v>
                </c:pt>
                <c:pt idx="200">
                  <c:v>235417234.28335226</c:v>
                </c:pt>
                <c:pt idx="201">
                  <c:v>233981733.58880207</c:v>
                </c:pt>
                <c:pt idx="202">
                  <c:v>234131426.48353356</c:v>
                </c:pt>
                <c:pt idx="203">
                  <c:v>20948348.798042551</c:v>
                </c:pt>
                <c:pt idx="204">
                  <c:v>20264982.549640365</c:v>
                </c:pt>
                <c:pt idx="205">
                  <c:v>20156820.927574076</c:v>
                </c:pt>
                <c:pt idx="206">
                  <c:v>19954562.141120572</c:v>
                </c:pt>
                <c:pt idx="207">
                  <c:v>19985614.59627052</c:v>
                </c:pt>
                <c:pt idx="208">
                  <c:v>18946370.108352751</c:v>
                </c:pt>
                <c:pt idx="209">
                  <c:v>18484504.216209356</c:v>
                </c:pt>
                <c:pt idx="210">
                  <c:v>18352786.636174437</c:v>
                </c:pt>
                <c:pt idx="211">
                  <c:v>18325324.500904575</c:v>
                </c:pt>
                <c:pt idx="212">
                  <c:v>17864401.119600218</c:v>
                </c:pt>
                <c:pt idx="213">
                  <c:v>17881800.306958213</c:v>
                </c:pt>
                <c:pt idx="214">
                  <c:v>17870530.473682541</c:v>
                </c:pt>
                <c:pt idx="215">
                  <c:v>17757478.51933087</c:v>
                </c:pt>
                <c:pt idx="216">
                  <c:v>17636706.791340809</c:v>
                </c:pt>
                <c:pt idx="217">
                  <c:v>17621611.625606976</c:v>
                </c:pt>
                <c:pt idx="218">
                  <c:v>17570697.803994536</c:v>
                </c:pt>
                <c:pt idx="219">
                  <c:v>17602436.298005212</c:v>
                </c:pt>
                <c:pt idx="220">
                  <c:v>17653195.864561237</c:v>
                </c:pt>
                <c:pt idx="221">
                  <c:v>17567941.043494627</c:v>
                </c:pt>
                <c:pt idx="222">
                  <c:v>17519218.803403772</c:v>
                </c:pt>
                <c:pt idx="223">
                  <c:v>17409851.707844116</c:v>
                </c:pt>
                <c:pt idx="224">
                  <c:v>19278785.314405825</c:v>
                </c:pt>
                <c:pt idx="225">
                  <c:v>20411617.041993961</c:v>
                </c:pt>
                <c:pt idx="226">
                  <c:v>20569343.983648878</c:v>
                </c:pt>
                <c:pt idx="227">
                  <c:v>20355108.943601038</c:v>
                </c:pt>
                <c:pt idx="228">
                  <c:v>20260591.362589218</c:v>
                </c:pt>
                <c:pt idx="229">
                  <c:v>20332653.11740033</c:v>
                </c:pt>
                <c:pt idx="230">
                  <c:v>20979586.509377964</c:v>
                </c:pt>
                <c:pt idx="231">
                  <c:v>21300485.715076584</c:v>
                </c:pt>
                <c:pt idx="232">
                  <c:v>21912964.661555529</c:v>
                </c:pt>
                <c:pt idx="233">
                  <c:v>21876255.579731736</c:v>
                </c:pt>
                <c:pt idx="234">
                  <c:v>21846043.971613619</c:v>
                </c:pt>
                <c:pt idx="235">
                  <c:v>21937083.617051985</c:v>
                </c:pt>
                <c:pt idx="236">
                  <c:v>22022953.138122473</c:v>
                </c:pt>
                <c:pt idx="237">
                  <c:v>22052147.341475658</c:v>
                </c:pt>
                <c:pt idx="238">
                  <c:v>22124521.435919814</c:v>
                </c:pt>
                <c:pt idx="239">
                  <c:v>21634416.071866672</c:v>
                </c:pt>
                <c:pt idx="240">
                  <c:v>21431442.563957945</c:v>
                </c:pt>
                <c:pt idx="241">
                  <c:v>21413183.517474275</c:v>
                </c:pt>
                <c:pt idx="242">
                  <c:v>21415588.880781166</c:v>
                </c:pt>
                <c:pt idx="243">
                  <c:v>21277794.105296399</c:v>
                </c:pt>
                <c:pt idx="244">
                  <c:v>21338332.051963739</c:v>
                </c:pt>
                <c:pt idx="245">
                  <c:v>20719473.268243264</c:v>
                </c:pt>
                <c:pt idx="246">
                  <c:v>20300263.549762323</c:v>
                </c:pt>
                <c:pt idx="247">
                  <c:v>19434000.453715779</c:v>
                </c:pt>
                <c:pt idx="248">
                  <c:v>19454845.430201225</c:v>
                </c:pt>
                <c:pt idx="249">
                  <c:v>19403950.444656104</c:v>
                </c:pt>
                <c:pt idx="250">
                  <c:v>19478000.643727958</c:v>
                </c:pt>
                <c:pt idx="251">
                  <c:v>19473027.732876021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7-4BD9-A7FA-6472C8963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113232"/>
        <c:axId val="271686016"/>
      </c:lineChart>
      <c:catAx>
        <c:axId val="6091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1686016"/>
        <c:crosses val="autoZero"/>
        <c:auto val="1"/>
        <c:lblAlgn val="ctr"/>
        <c:lblOffset val="100"/>
        <c:noMultiLvlLbl val="0"/>
      </c:catAx>
      <c:valAx>
        <c:axId val="2716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911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Reservas en US$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Hoja2!$A$8:$B$259</c:f>
              <c:multiLvlStrCache>
                <c:ptCount val="252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  <c:pt idx="132">
                    <c:v>Ene.</c:v>
                  </c:pt>
                  <c:pt idx="133">
                    <c:v>Feb.</c:v>
                  </c:pt>
                  <c:pt idx="134">
                    <c:v>Mar.</c:v>
                  </c:pt>
                  <c:pt idx="135">
                    <c:v>Abr.</c:v>
                  </c:pt>
                  <c:pt idx="136">
                    <c:v>May.</c:v>
                  </c:pt>
                  <c:pt idx="137">
                    <c:v>Jun.</c:v>
                  </c:pt>
                  <c:pt idx="138">
                    <c:v>Jul.</c:v>
                  </c:pt>
                  <c:pt idx="139">
                    <c:v>Ago.</c:v>
                  </c:pt>
                  <c:pt idx="140">
                    <c:v>Set.</c:v>
                  </c:pt>
                  <c:pt idx="141">
                    <c:v>Oct.</c:v>
                  </c:pt>
                  <c:pt idx="142">
                    <c:v>Nov.</c:v>
                  </c:pt>
                  <c:pt idx="143">
                    <c:v>Dic.</c:v>
                  </c:pt>
                  <c:pt idx="144">
                    <c:v>Ene.</c:v>
                  </c:pt>
                  <c:pt idx="145">
                    <c:v>Feb.</c:v>
                  </c:pt>
                  <c:pt idx="146">
                    <c:v>Mar.</c:v>
                  </c:pt>
                  <c:pt idx="147">
                    <c:v>Abr.</c:v>
                  </c:pt>
                  <c:pt idx="148">
                    <c:v>May.</c:v>
                  </c:pt>
                  <c:pt idx="149">
                    <c:v>Jun.</c:v>
                  </c:pt>
                  <c:pt idx="150">
                    <c:v>Jul.</c:v>
                  </c:pt>
                  <c:pt idx="151">
                    <c:v>Ago.</c:v>
                  </c:pt>
                  <c:pt idx="152">
                    <c:v>Set.</c:v>
                  </c:pt>
                  <c:pt idx="153">
                    <c:v>Oct.</c:v>
                  </c:pt>
                  <c:pt idx="154">
                    <c:v>Nov.</c:v>
                  </c:pt>
                  <c:pt idx="155">
                    <c:v>Dic.</c:v>
                  </c:pt>
                  <c:pt idx="156">
                    <c:v>Ene.</c:v>
                  </c:pt>
                  <c:pt idx="157">
                    <c:v>Feb.</c:v>
                  </c:pt>
                  <c:pt idx="158">
                    <c:v>Mar.</c:v>
                  </c:pt>
                  <c:pt idx="159">
                    <c:v>Abr.</c:v>
                  </c:pt>
                  <c:pt idx="160">
                    <c:v>May.</c:v>
                  </c:pt>
                  <c:pt idx="161">
                    <c:v>Jun.</c:v>
                  </c:pt>
                  <c:pt idx="162">
                    <c:v>Jul.</c:v>
                  </c:pt>
                  <c:pt idx="163">
                    <c:v>Ago.</c:v>
                  </c:pt>
                  <c:pt idx="164">
                    <c:v>Set.</c:v>
                  </c:pt>
                  <c:pt idx="165">
                    <c:v>Oct.</c:v>
                  </c:pt>
                  <c:pt idx="166">
                    <c:v>Nov.</c:v>
                  </c:pt>
                  <c:pt idx="167">
                    <c:v>Dic.</c:v>
                  </c:pt>
                  <c:pt idx="168">
                    <c:v>Ene.</c:v>
                  </c:pt>
                  <c:pt idx="169">
                    <c:v>Feb.</c:v>
                  </c:pt>
                  <c:pt idx="170">
                    <c:v>Mar.</c:v>
                  </c:pt>
                  <c:pt idx="171">
                    <c:v>Abr.</c:v>
                  </c:pt>
                  <c:pt idx="172">
                    <c:v>May.</c:v>
                  </c:pt>
                  <c:pt idx="173">
                    <c:v>Jun.</c:v>
                  </c:pt>
                  <c:pt idx="174">
                    <c:v>Jul.</c:v>
                  </c:pt>
                  <c:pt idx="175">
                    <c:v>Ago.</c:v>
                  </c:pt>
                  <c:pt idx="176">
                    <c:v>Set.</c:v>
                  </c:pt>
                  <c:pt idx="177">
                    <c:v>Oct.</c:v>
                  </c:pt>
                  <c:pt idx="178">
                    <c:v>Nov.</c:v>
                  </c:pt>
                  <c:pt idx="179">
                    <c:v>Dic.</c:v>
                  </c:pt>
                  <c:pt idx="180">
                    <c:v>Ene.</c:v>
                  </c:pt>
                  <c:pt idx="181">
                    <c:v>Feb.</c:v>
                  </c:pt>
                  <c:pt idx="182">
                    <c:v>Mar.</c:v>
                  </c:pt>
                  <c:pt idx="183">
                    <c:v>Abr.</c:v>
                  </c:pt>
                  <c:pt idx="184">
                    <c:v>May.</c:v>
                  </c:pt>
                  <c:pt idx="185">
                    <c:v>Jun.</c:v>
                  </c:pt>
                  <c:pt idx="186">
                    <c:v>Jul.</c:v>
                  </c:pt>
                  <c:pt idx="187">
                    <c:v>Ago.</c:v>
                  </c:pt>
                  <c:pt idx="188">
                    <c:v>Set.</c:v>
                  </c:pt>
                  <c:pt idx="189">
                    <c:v>Oct.</c:v>
                  </c:pt>
                  <c:pt idx="190">
                    <c:v>Nov.</c:v>
                  </c:pt>
                  <c:pt idx="191">
                    <c:v>Dic.</c:v>
                  </c:pt>
                  <c:pt idx="192">
                    <c:v>Ene.</c:v>
                  </c:pt>
                  <c:pt idx="193">
                    <c:v>Feb.</c:v>
                  </c:pt>
                  <c:pt idx="194">
                    <c:v>Mar.</c:v>
                  </c:pt>
                  <c:pt idx="195">
                    <c:v>Abr.</c:v>
                  </c:pt>
                  <c:pt idx="196">
                    <c:v>May.</c:v>
                  </c:pt>
                  <c:pt idx="197">
                    <c:v>Jun.</c:v>
                  </c:pt>
                  <c:pt idx="198">
                    <c:v>Jul.</c:v>
                  </c:pt>
                  <c:pt idx="199">
                    <c:v>Ago.</c:v>
                  </c:pt>
                  <c:pt idx="200">
                    <c:v>Set.</c:v>
                  </c:pt>
                  <c:pt idx="201">
                    <c:v>Oct.</c:v>
                  </c:pt>
                  <c:pt idx="202">
                    <c:v>Nov.</c:v>
                  </c:pt>
                  <c:pt idx="203">
                    <c:v>Dic.</c:v>
                  </c:pt>
                  <c:pt idx="204">
                    <c:v>Ene.</c:v>
                  </c:pt>
                  <c:pt idx="205">
                    <c:v>Feb.</c:v>
                  </c:pt>
                  <c:pt idx="206">
                    <c:v>Mar.</c:v>
                  </c:pt>
                  <c:pt idx="207">
                    <c:v>Abr.</c:v>
                  </c:pt>
                  <c:pt idx="208">
                    <c:v>May.</c:v>
                  </c:pt>
                  <c:pt idx="209">
                    <c:v>Jun.</c:v>
                  </c:pt>
                  <c:pt idx="210">
                    <c:v>Jul.</c:v>
                  </c:pt>
                  <c:pt idx="211">
                    <c:v>Ago.</c:v>
                  </c:pt>
                  <c:pt idx="212">
                    <c:v>Set.</c:v>
                  </c:pt>
                  <c:pt idx="213">
                    <c:v>Oct.</c:v>
                  </c:pt>
                  <c:pt idx="214">
                    <c:v>Nov.</c:v>
                  </c:pt>
                  <c:pt idx="215">
                    <c:v>Dic.</c:v>
                  </c:pt>
                  <c:pt idx="216">
                    <c:v>Ene.</c:v>
                  </c:pt>
                  <c:pt idx="217">
                    <c:v>Feb.</c:v>
                  </c:pt>
                  <c:pt idx="218">
                    <c:v>Mar.</c:v>
                  </c:pt>
                  <c:pt idx="219">
                    <c:v>Abr.</c:v>
                  </c:pt>
                  <c:pt idx="220">
                    <c:v>May.</c:v>
                  </c:pt>
                  <c:pt idx="221">
                    <c:v>Jun.</c:v>
                  </c:pt>
                  <c:pt idx="222">
                    <c:v>Jul.</c:v>
                  </c:pt>
                  <c:pt idx="223">
                    <c:v>Ago.</c:v>
                  </c:pt>
                  <c:pt idx="224">
                    <c:v>Set.</c:v>
                  </c:pt>
                  <c:pt idx="225">
                    <c:v>Oct.</c:v>
                  </c:pt>
                  <c:pt idx="226">
                    <c:v>Nov.</c:v>
                  </c:pt>
                  <c:pt idx="227">
                    <c:v>Dic.</c:v>
                  </c:pt>
                  <c:pt idx="228">
                    <c:v>Ene.</c:v>
                  </c:pt>
                  <c:pt idx="229">
                    <c:v>Feb.</c:v>
                  </c:pt>
                  <c:pt idx="230">
                    <c:v>Mar.</c:v>
                  </c:pt>
                  <c:pt idx="231">
                    <c:v>Abr.</c:v>
                  </c:pt>
                  <c:pt idx="232">
                    <c:v>May.</c:v>
                  </c:pt>
                  <c:pt idx="233">
                    <c:v>Jun.</c:v>
                  </c:pt>
                  <c:pt idx="234">
                    <c:v>Jul.</c:v>
                  </c:pt>
                  <c:pt idx="235">
                    <c:v>Ago.</c:v>
                  </c:pt>
                  <c:pt idx="236">
                    <c:v>Set.</c:v>
                  </c:pt>
                  <c:pt idx="237">
                    <c:v>Oct.</c:v>
                  </c:pt>
                  <c:pt idx="238">
                    <c:v>Nov.</c:v>
                  </c:pt>
                  <c:pt idx="239">
                    <c:v>Dic.</c:v>
                  </c:pt>
                  <c:pt idx="240">
                    <c:v>Ene.</c:v>
                  </c:pt>
                  <c:pt idx="241">
                    <c:v>Feb.</c:v>
                  </c:pt>
                  <c:pt idx="242">
                    <c:v>Mar.</c:v>
                  </c:pt>
                  <c:pt idx="243">
                    <c:v>Abr.</c:v>
                  </c:pt>
                  <c:pt idx="244">
                    <c:v>May.</c:v>
                  </c:pt>
                  <c:pt idx="245">
                    <c:v>Jun.</c:v>
                  </c:pt>
                  <c:pt idx="246">
                    <c:v>Jul.</c:v>
                  </c:pt>
                  <c:pt idx="247">
                    <c:v>Ago.</c:v>
                  </c:pt>
                  <c:pt idx="248">
                    <c:v>Set.</c:v>
                  </c:pt>
                  <c:pt idx="249">
                    <c:v>Oct.</c:v>
                  </c:pt>
                  <c:pt idx="250">
                    <c:v>Nov.</c:v>
                  </c:pt>
                  <c:pt idx="251">
                    <c:v>Dic.</c:v>
                  </c:pt>
                </c:lvl>
                <c:lvl>
                  <c:pt idx="0">
                    <c:v>1980 </c:v>
                  </c:pt>
                  <c:pt idx="12">
                    <c:v>1981 </c:v>
                  </c:pt>
                  <c:pt idx="24">
                    <c:v>1982 </c:v>
                  </c:pt>
                  <c:pt idx="36">
                    <c:v>1983 </c:v>
                  </c:pt>
                  <c:pt idx="48">
                    <c:v>1984 </c:v>
                  </c:pt>
                  <c:pt idx="60">
                    <c:v>1985 </c:v>
                  </c:pt>
                  <c:pt idx="72">
                    <c:v>1986 </c:v>
                  </c:pt>
                  <c:pt idx="84">
                    <c:v>1987 </c:v>
                  </c:pt>
                  <c:pt idx="96">
                    <c:v>1988 </c:v>
                  </c:pt>
                  <c:pt idx="108">
                    <c:v>1989 </c:v>
                  </c:pt>
                  <c:pt idx="120">
                    <c:v>1990 </c:v>
                  </c:pt>
                  <c:pt idx="132">
                    <c:v>1991 </c:v>
                  </c:pt>
                  <c:pt idx="144">
                    <c:v>1992 </c:v>
                  </c:pt>
                  <c:pt idx="156">
                    <c:v>1993 </c:v>
                  </c:pt>
                  <c:pt idx="168">
                    <c:v>1994 </c:v>
                  </c:pt>
                  <c:pt idx="180">
                    <c:v>1995 </c:v>
                  </c:pt>
                  <c:pt idx="192">
                    <c:v>1996 </c:v>
                  </c:pt>
                  <c:pt idx="204">
                    <c:v>1997 </c:v>
                  </c:pt>
                  <c:pt idx="216">
                    <c:v>1998 </c:v>
                  </c:pt>
                  <c:pt idx="228">
                    <c:v>1999 </c:v>
                  </c:pt>
                  <c:pt idx="240">
                    <c:v>2000 </c:v>
                  </c:pt>
                </c:lvl>
              </c:multiLvlStrCache>
            </c:multiLvlStrRef>
          </c:cat>
          <c:val>
            <c:numRef>
              <c:f>Hoja2!$J$8:$J$259</c:f>
              <c:numCache>
                <c:formatCode>#,##0</c:formatCode>
                <c:ptCount val="252"/>
                <c:pt idx="0">
                  <c:v>5507498500.2999401</c:v>
                </c:pt>
                <c:pt idx="1">
                  <c:v>5429239766.081871</c:v>
                </c:pt>
                <c:pt idx="2">
                  <c:v>5209023415.1913195</c:v>
                </c:pt>
                <c:pt idx="3">
                  <c:v>4296254891.0005598</c:v>
                </c:pt>
                <c:pt idx="4">
                  <c:v>3230684931.5068502</c:v>
                </c:pt>
                <c:pt idx="5">
                  <c:v>2839074273.4122715</c:v>
                </c:pt>
                <c:pt idx="6">
                  <c:v>3710275423.7288146</c:v>
                </c:pt>
                <c:pt idx="7">
                  <c:v>3840647857.8892379</c:v>
                </c:pt>
                <c:pt idx="8">
                  <c:v>2877645844.0887976</c:v>
                </c:pt>
                <c:pt idx="9">
                  <c:v>2228527607.3619633</c:v>
                </c:pt>
                <c:pt idx="10">
                  <c:v>1399797570.8502026</c:v>
                </c:pt>
                <c:pt idx="11">
                  <c:v>825651302.60521042</c:v>
                </c:pt>
                <c:pt idx="12">
                  <c:v>-97729516.288252741</c:v>
                </c:pt>
                <c:pt idx="13">
                  <c:v>-1402660753.8802662</c:v>
                </c:pt>
                <c:pt idx="14">
                  <c:v>-2279729157.8501906</c:v>
                </c:pt>
                <c:pt idx="15">
                  <c:v>-421518987.34177226</c:v>
                </c:pt>
                <c:pt idx="16">
                  <c:v>-1220830788.0268786</c:v>
                </c:pt>
                <c:pt idx="17">
                  <c:v>-786969696.96969712</c:v>
                </c:pt>
                <c:pt idx="18">
                  <c:v>-833972602.73972631</c:v>
                </c:pt>
                <c:pt idx="19">
                  <c:v>-785637583.89261758</c:v>
                </c:pt>
                <c:pt idx="20">
                  <c:v>-637418513.68970025</c:v>
                </c:pt>
                <c:pt idx="21">
                  <c:v>-882608695.652174</c:v>
                </c:pt>
                <c:pt idx="22">
                  <c:v>-903098591.54929578</c:v>
                </c:pt>
                <c:pt idx="23">
                  <c:v>-1077075471.6981134</c:v>
                </c:pt>
                <c:pt idx="24">
                  <c:v>-1153746898.2630274</c:v>
                </c:pt>
                <c:pt idx="25">
                  <c:v>-1101691542.2885573</c:v>
                </c:pt>
                <c:pt idx="26">
                  <c:v>-1464482758.6206899</c:v>
                </c:pt>
                <c:pt idx="27">
                  <c:v>-1853083333.3333337</c:v>
                </c:pt>
                <c:pt idx="28">
                  <c:v>-1433150684.9315071</c:v>
                </c:pt>
                <c:pt idx="29">
                  <c:v>-1774158730.1587303</c:v>
                </c:pt>
                <c:pt idx="30">
                  <c:v>-716256410.25641024</c:v>
                </c:pt>
                <c:pt idx="31">
                  <c:v>-1175461538.4615386</c:v>
                </c:pt>
                <c:pt idx="32">
                  <c:v>-878769230.76923084</c:v>
                </c:pt>
                <c:pt idx="33">
                  <c:v>-976615384.6153847</c:v>
                </c:pt>
                <c:pt idx="34">
                  <c:v>-977073732.71889412</c:v>
                </c:pt>
                <c:pt idx="35">
                  <c:v>-974696314.59748828</c:v>
                </c:pt>
                <c:pt idx="36">
                  <c:v>-1064176068.0599226</c:v>
                </c:pt>
                <c:pt idx="37">
                  <c:v>-1216310293.386375</c:v>
                </c:pt>
                <c:pt idx="38">
                  <c:v>-1243483501.5820403</c:v>
                </c:pt>
                <c:pt idx="39">
                  <c:v>-1215024862.2496977</c:v>
                </c:pt>
                <c:pt idx="40">
                  <c:v>-672500924.44225323</c:v>
                </c:pt>
                <c:pt idx="41">
                  <c:v>-283432684.7373749</c:v>
                </c:pt>
                <c:pt idx="42">
                  <c:v>-85949252.83321631</c:v>
                </c:pt>
                <c:pt idx="43">
                  <c:v>-394522247.8283993</c:v>
                </c:pt>
                <c:pt idx="44">
                  <c:v>-769906770.59452856</c:v>
                </c:pt>
                <c:pt idx="45">
                  <c:v>-467029145.85572481</c:v>
                </c:pt>
                <c:pt idx="46">
                  <c:v>-245283018.86792454</c:v>
                </c:pt>
                <c:pt idx="47">
                  <c:v>-1272313179.4937906</c:v>
                </c:pt>
                <c:pt idx="48">
                  <c:v>-632134985.17899227</c:v>
                </c:pt>
                <c:pt idx="49">
                  <c:v>-421574023.11502481</c:v>
                </c:pt>
                <c:pt idx="50">
                  <c:v>-182073684.85366896</c:v>
                </c:pt>
                <c:pt idx="51">
                  <c:v>223332267.6896846</c:v>
                </c:pt>
                <c:pt idx="52">
                  <c:v>397577492.95518601</c:v>
                </c:pt>
                <c:pt idx="53">
                  <c:v>567889675.61979437</c:v>
                </c:pt>
                <c:pt idx="54">
                  <c:v>538132780.75472307</c:v>
                </c:pt>
                <c:pt idx="55">
                  <c:v>171875839.82800323</c:v>
                </c:pt>
                <c:pt idx="56">
                  <c:v>271054293.61674327</c:v>
                </c:pt>
                <c:pt idx="57">
                  <c:v>482767806.5998469</c:v>
                </c:pt>
                <c:pt idx="58">
                  <c:v>206966110.81226468</c:v>
                </c:pt>
                <c:pt idx="59">
                  <c:v>-465527655.05284941</c:v>
                </c:pt>
                <c:pt idx="60">
                  <c:v>-172104886.34329697</c:v>
                </c:pt>
                <c:pt idx="61">
                  <c:v>-355245198.5828827</c:v>
                </c:pt>
                <c:pt idx="62">
                  <c:v>-355008894.98089772</c:v>
                </c:pt>
                <c:pt idx="63">
                  <c:v>-45797392.176529594</c:v>
                </c:pt>
                <c:pt idx="64">
                  <c:v>370186717.1666832</c:v>
                </c:pt>
                <c:pt idx="65">
                  <c:v>212808988.76404497</c:v>
                </c:pt>
                <c:pt idx="66">
                  <c:v>745480649.18851435</c:v>
                </c:pt>
                <c:pt idx="67">
                  <c:v>1132756554.3071163</c:v>
                </c:pt>
                <c:pt idx="68">
                  <c:v>1138337078.6516855</c:v>
                </c:pt>
                <c:pt idx="69">
                  <c:v>1427465667.9151063</c:v>
                </c:pt>
                <c:pt idx="70">
                  <c:v>1671423220.9737828</c:v>
                </c:pt>
                <c:pt idx="71">
                  <c:v>-1084815230.9612985</c:v>
                </c:pt>
                <c:pt idx="72">
                  <c:v>-784806491.88514364</c:v>
                </c:pt>
                <c:pt idx="73">
                  <c:v>-798086142.32209742</c:v>
                </c:pt>
                <c:pt idx="74">
                  <c:v>-1104764044.9438205</c:v>
                </c:pt>
                <c:pt idx="75">
                  <c:v>-719034482.75862074</c:v>
                </c:pt>
                <c:pt idx="76">
                  <c:v>-457159117.30545878</c:v>
                </c:pt>
                <c:pt idx="77">
                  <c:v>-547713804.71380472</c:v>
                </c:pt>
                <c:pt idx="78">
                  <c:v>-443182410.42345273</c:v>
                </c:pt>
                <c:pt idx="79">
                  <c:v>-330966269.84126985</c:v>
                </c:pt>
                <c:pt idx="80">
                  <c:v>-334978504.67289722</c:v>
                </c:pt>
                <c:pt idx="81">
                  <c:v>-393322723.25375777</c:v>
                </c:pt>
                <c:pt idx="82">
                  <c:v>-695768839.9661305</c:v>
                </c:pt>
                <c:pt idx="83">
                  <c:v>-933932486.10007966</c:v>
                </c:pt>
                <c:pt idx="84">
                  <c:v>-826814564.56456459</c:v>
                </c:pt>
                <c:pt idx="85">
                  <c:v>-894409474.36729395</c:v>
                </c:pt>
                <c:pt idx="86">
                  <c:v>-884243997.40428293</c:v>
                </c:pt>
                <c:pt idx="87">
                  <c:v>-1206902011.6807268</c:v>
                </c:pt>
                <c:pt idx="88">
                  <c:v>-1008627003.6991369</c:v>
                </c:pt>
                <c:pt idx="89">
                  <c:v>-1246708657.047725</c:v>
                </c:pt>
                <c:pt idx="90">
                  <c:v>-1254325240.2630248</c:v>
                </c:pt>
                <c:pt idx="91">
                  <c:v>-1095064082.8011451</c:v>
                </c:pt>
                <c:pt idx="92">
                  <c:v>-1201087080.250427</c:v>
                </c:pt>
                <c:pt idx="93">
                  <c:v>-844589137.38019168</c:v>
                </c:pt>
                <c:pt idx="94">
                  <c:v>-634352643.67816103</c:v>
                </c:pt>
                <c:pt idx="95">
                  <c:v>-3993512304.6875005</c:v>
                </c:pt>
                <c:pt idx="96">
                  <c:v>-3863793501.8050542</c:v>
                </c:pt>
                <c:pt idx="97">
                  <c:v>-3468525931.9286871</c:v>
                </c:pt>
                <c:pt idx="98">
                  <c:v>-3193690332.3262839</c:v>
                </c:pt>
                <c:pt idx="99">
                  <c:v>-2729150200.2670236</c:v>
                </c:pt>
                <c:pt idx="100">
                  <c:v>-2046227499.9999998</c:v>
                </c:pt>
                <c:pt idx="101">
                  <c:v>-1303979125.7805529</c:v>
                </c:pt>
                <c:pt idx="102">
                  <c:v>-743494907.4074074</c:v>
                </c:pt>
                <c:pt idx="103">
                  <c:v>87213740.458015263</c:v>
                </c:pt>
                <c:pt idx="104">
                  <c:v>247633422.28152114</c:v>
                </c:pt>
                <c:pt idx="105">
                  <c:v>316973262.73990721</c:v>
                </c:pt>
                <c:pt idx="106">
                  <c:v>151266943.20357367</c:v>
                </c:pt>
                <c:pt idx="107">
                  <c:v>765912273.27690434</c:v>
                </c:pt>
                <c:pt idx="108">
                  <c:v>600342661.33637905</c:v>
                </c:pt>
                <c:pt idx="109">
                  <c:v>-182872340.42553192</c:v>
                </c:pt>
                <c:pt idx="110">
                  <c:v>-254036144.57831326</c:v>
                </c:pt>
                <c:pt idx="111">
                  <c:v>-43155844.155844152</c:v>
                </c:pt>
                <c:pt idx="112">
                  <c:v>698045197.74011302</c:v>
                </c:pt>
                <c:pt idx="113">
                  <c:v>558377862.59541988</c:v>
                </c:pt>
                <c:pt idx="114">
                  <c:v>1361148091.6030533</c:v>
                </c:pt>
                <c:pt idx="115">
                  <c:v>1845062595.4198472</c:v>
                </c:pt>
                <c:pt idx="116">
                  <c:v>2384186259.5419846</c:v>
                </c:pt>
                <c:pt idx="117">
                  <c:v>2548271755.7251906</c:v>
                </c:pt>
                <c:pt idx="118">
                  <c:v>2121561832.0610685</c:v>
                </c:pt>
                <c:pt idx="119">
                  <c:v>799250555.55555558</c:v>
                </c:pt>
                <c:pt idx="120">
                  <c:v>-9800973262.0320854</c:v>
                </c:pt>
                <c:pt idx="121">
                  <c:v>-7750959798.9949751</c:v>
                </c:pt>
                <c:pt idx="122">
                  <c:v>-7387115879.8283262</c:v>
                </c:pt>
                <c:pt idx="123">
                  <c:v>-6179159680.6387224</c:v>
                </c:pt>
                <c:pt idx="124">
                  <c:v>-6157111776.4471054</c:v>
                </c:pt>
                <c:pt idx="125">
                  <c:v>-5269480075.9013281</c:v>
                </c:pt>
                <c:pt idx="126">
                  <c:v>-5201653211.0091743</c:v>
                </c:pt>
                <c:pt idx="127">
                  <c:v>-5235600000</c:v>
                </c:pt>
                <c:pt idx="128">
                  <c:v>-4840910062.3330364</c:v>
                </c:pt>
                <c:pt idx="129">
                  <c:v>-4424709156.1938953</c:v>
                </c:pt>
                <c:pt idx="130">
                  <c:v>-3702775828.4600391</c:v>
                </c:pt>
                <c:pt idx="131">
                  <c:v>-1454787119.8568871</c:v>
                </c:pt>
                <c:pt idx="132">
                  <c:v>-4007135737.0095444</c:v>
                </c:pt>
                <c:pt idx="133">
                  <c:v>-4289320320.3203201</c:v>
                </c:pt>
                <c:pt idx="134">
                  <c:v>-4895316035.2880125</c:v>
                </c:pt>
                <c:pt idx="135">
                  <c:v>-4501041794.0876656</c:v>
                </c:pt>
                <c:pt idx="136">
                  <c:v>-3954026236.1251264</c:v>
                </c:pt>
                <c:pt idx="137">
                  <c:v>-3467354385.9649119</c:v>
                </c:pt>
                <c:pt idx="138">
                  <c:v>-3360140562.2489958</c:v>
                </c:pt>
                <c:pt idx="139">
                  <c:v>-2777946813.8484697</c:v>
                </c:pt>
                <c:pt idx="140">
                  <c:v>-2036703329.9697275</c:v>
                </c:pt>
                <c:pt idx="141">
                  <c:v>-1987415741.6750758</c:v>
                </c:pt>
                <c:pt idx="142">
                  <c:v>-1477109989.9091825</c:v>
                </c:pt>
                <c:pt idx="143">
                  <c:v>362379379.37937939</c:v>
                </c:pt>
                <c:pt idx="144">
                  <c:v>581748748.74874878</c:v>
                </c:pt>
                <c:pt idx="145">
                  <c:v>453715715.71571571</c:v>
                </c:pt>
                <c:pt idx="146">
                  <c:v>1174957957.957958</c:v>
                </c:pt>
                <c:pt idx="147">
                  <c:v>1530423423.4234235</c:v>
                </c:pt>
                <c:pt idx="148">
                  <c:v>2213525525.5255256</c:v>
                </c:pt>
                <c:pt idx="149">
                  <c:v>1985275275.2752752</c:v>
                </c:pt>
                <c:pt idx="150">
                  <c:v>2445201201.2012014</c:v>
                </c:pt>
                <c:pt idx="151">
                  <c:v>2500267267.2672672</c:v>
                </c:pt>
                <c:pt idx="152">
                  <c:v>3516616616.6166167</c:v>
                </c:pt>
                <c:pt idx="153">
                  <c:v>8052436436.4364367</c:v>
                </c:pt>
                <c:pt idx="154">
                  <c:v>7843092092.0920925</c:v>
                </c:pt>
                <c:pt idx="155">
                  <c:v>8665757757.7577572</c:v>
                </c:pt>
                <c:pt idx="156">
                  <c:v>7935934934.9349346</c:v>
                </c:pt>
                <c:pt idx="157">
                  <c:v>8099700700.7007008</c:v>
                </c:pt>
                <c:pt idx="158">
                  <c:v>8054116116.1161165</c:v>
                </c:pt>
                <c:pt idx="159">
                  <c:v>7523356356.3563566</c:v>
                </c:pt>
                <c:pt idx="160">
                  <c:v>7760782782.7827826</c:v>
                </c:pt>
                <c:pt idx="161">
                  <c:v>7792798798.7987986</c:v>
                </c:pt>
                <c:pt idx="162">
                  <c:v>8989479479.4794788</c:v>
                </c:pt>
                <c:pt idx="163">
                  <c:v>10483100100.1001</c:v>
                </c:pt>
                <c:pt idx="164">
                  <c:v>9503102102.1021023</c:v>
                </c:pt>
                <c:pt idx="165">
                  <c:v>9739412412.4124126</c:v>
                </c:pt>
                <c:pt idx="166">
                  <c:v>9600546546.5465469</c:v>
                </c:pt>
                <c:pt idx="167">
                  <c:v>11644514514.514515</c:v>
                </c:pt>
                <c:pt idx="168">
                  <c:v>11675511511.511511</c:v>
                </c:pt>
                <c:pt idx="169">
                  <c:v>11414631631.631632</c:v>
                </c:pt>
                <c:pt idx="170">
                  <c:v>10656509509.50951</c:v>
                </c:pt>
                <c:pt idx="171">
                  <c:v>10193765765.765766</c:v>
                </c:pt>
                <c:pt idx="172">
                  <c:v>10594806806.806807</c:v>
                </c:pt>
                <c:pt idx="173">
                  <c:v>10652769769.76977</c:v>
                </c:pt>
                <c:pt idx="174">
                  <c:v>11036385385.385386</c:v>
                </c:pt>
                <c:pt idx="175">
                  <c:v>10854592592.592592</c:v>
                </c:pt>
                <c:pt idx="176">
                  <c:v>10198873873.873875</c:v>
                </c:pt>
                <c:pt idx="177">
                  <c:v>10034291291.291292</c:v>
                </c:pt>
                <c:pt idx="178">
                  <c:v>10087154154.154154</c:v>
                </c:pt>
                <c:pt idx="179">
                  <c:v>11942277277.277277</c:v>
                </c:pt>
                <c:pt idx="180">
                  <c:v>9649770284.7747746</c:v>
                </c:pt>
                <c:pt idx="181">
                  <c:v>8876855999.679678</c:v>
                </c:pt>
                <c:pt idx="182">
                  <c:v>5848077088.6386375</c:v>
                </c:pt>
                <c:pt idx="183">
                  <c:v>5467585750.2502508</c:v>
                </c:pt>
                <c:pt idx="184">
                  <c:v>4916590847.5875854</c:v>
                </c:pt>
                <c:pt idx="185">
                  <c:v>6733879972.9129124</c:v>
                </c:pt>
                <c:pt idx="186">
                  <c:v>7058651570.6306305</c:v>
                </c:pt>
                <c:pt idx="187">
                  <c:v>5831895359.2192192</c:v>
                </c:pt>
                <c:pt idx="188">
                  <c:v>6948383296.3163147</c:v>
                </c:pt>
                <c:pt idx="189">
                  <c:v>6410554055.5955963</c:v>
                </c:pt>
                <c:pt idx="190">
                  <c:v>6568087465.4754753</c:v>
                </c:pt>
                <c:pt idx="191">
                  <c:v>9963767767.767767</c:v>
                </c:pt>
                <c:pt idx="192">
                  <c:v>8783511073.6636639</c:v>
                </c:pt>
                <c:pt idx="193">
                  <c:v>9664671858.0680695</c:v>
                </c:pt>
                <c:pt idx="194">
                  <c:v>9259239239.2392387</c:v>
                </c:pt>
                <c:pt idx="195">
                  <c:v>8409361361.3613615</c:v>
                </c:pt>
                <c:pt idx="196">
                  <c:v>8101063063.0630627</c:v>
                </c:pt>
                <c:pt idx="197">
                  <c:v>9866915915.9159164</c:v>
                </c:pt>
                <c:pt idx="198">
                  <c:v>8497280280.2802801</c:v>
                </c:pt>
                <c:pt idx="199">
                  <c:v>8099137137.1371374</c:v>
                </c:pt>
                <c:pt idx="200">
                  <c:v>8394247247.2472477</c:v>
                </c:pt>
                <c:pt idx="201">
                  <c:v>7558050050.0500498</c:v>
                </c:pt>
                <c:pt idx="202">
                  <c:v>7833841841.8418417</c:v>
                </c:pt>
                <c:pt idx="203">
                  <c:v>11520992992.992992</c:v>
                </c:pt>
                <c:pt idx="204">
                  <c:v>10279839839.83984</c:v>
                </c:pt>
                <c:pt idx="205">
                  <c:v>11037820820.820822</c:v>
                </c:pt>
                <c:pt idx="206">
                  <c:v>9275204204.2042046</c:v>
                </c:pt>
                <c:pt idx="207">
                  <c:v>8436204204.2042046</c:v>
                </c:pt>
                <c:pt idx="208">
                  <c:v>9619665665.6656666</c:v>
                </c:pt>
                <c:pt idx="209">
                  <c:v>10914907907.907907</c:v>
                </c:pt>
                <c:pt idx="210">
                  <c:v>11013765765.765766</c:v>
                </c:pt>
                <c:pt idx="211">
                  <c:v>10116981981.981981</c:v>
                </c:pt>
                <c:pt idx="212">
                  <c:v>9911584584.5845852</c:v>
                </c:pt>
                <c:pt idx="213">
                  <c:v>10381003003.003002</c:v>
                </c:pt>
                <c:pt idx="214">
                  <c:v>10396479479.479479</c:v>
                </c:pt>
                <c:pt idx="215">
                  <c:v>12298031031.031031</c:v>
                </c:pt>
                <c:pt idx="216">
                  <c:v>10404969709.469469</c:v>
                </c:pt>
                <c:pt idx="217">
                  <c:v>11570187680.770771</c:v>
                </c:pt>
                <c:pt idx="218">
                  <c:v>11497563708.548548</c:v>
                </c:pt>
                <c:pt idx="219">
                  <c:v>11026763187.357361</c:v>
                </c:pt>
                <c:pt idx="220">
                  <c:v>11561415574.354355</c:v>
                </c:pt>
                <c:pt idx="221">
                  <c:v>11967037658.998995</c:v>
                </c:pt>
                <c:pt idx="222">
                  <c:v>14557856165.095093</c:v>
                </c:pt>
                <c:pt idx="223">
                  <c:v>12289204738.008013</c:v>
                </c:pt>
                <c:pt idx="224">
                  <c:v>10956174174.174173</c:v>
                </c:pt>
                <c:pt idx="225">
                  <c:v>11208146601.421425</c:v>
                </c:pt>
                <c:pt idx="226">
                  <c:v>11659764885.325327</c:v>
                </c:pt>
                <c:pt idx="227">
                  <c:v>14216624624.624624</c:v>
                </c:pt>
                <c:pt idx="228">
                  <c:v>11915468638.18819</c:v>
                </c:pt>
                <c:pt idx="229">
                  <c:v>13960580400.380386</c:v>
                </c:pt>
                <c:pt idx="230">
                  <c:v>12613663632.662666</c:v>
                </c:pt>
                <c:pt idx="231">
                  <c:v>11809456387.037037</c:v>
                </c:pt>
                <c:pt idx="232">
                  <c:v>11998691923.983984</c:v>
                </c:pt>
                <c:pt idx="233">
                  <c:v>12881418258.108109</c:v>
                </c:pt>
                <c:pt idx="234">
                  <c:v>12018589797.247252</c:v>
                </c:pt>
                <c:pt idx="235">
                  <c:v>11391030018.738739</c:v>
                </c:pt>
                <c:pt idx="236">
                  <c:v>11165445146.406406</c:v>
                </c:pt>
                <c:pt idx="237">
                  <c:v>12715356145.885885</c:v>
                </c:pt>
                <c:pt idx="238">
                  <c:v>13428009259.519518</c:v>
                </c:pt>
                <c:pt idx="239">
                  <c:v>14834895113.573578</c:v>
                </c:pt>
                <c:pt idx="240">
                  <c:v>13396243243.243244</c:v>
                </c:pt>
                <c:pt idx="241">
                  <c:v>13218706389.419418</c:v>
                </c:pt>
                <c:pt idx="242">
                  <c:v>13703147571.501501</c:v>
                </c:pt>
                <c:pt idx="243">
                  <c:v>11678118762.83283</c:v>
                </c:pt>
                <c:pt idx="244">
                  <c:v>11966651212.732729</c:v>
                </c:pt>
                <c:pt idx="245">
                  <c:v>13953281185.705702</c:v>
                </c:pt>
                <c:pt idx="246">
                  <c:v>13528853553.493494</c:v>
                </c:pt>
                <c:pt idx="247">
                  <c:v>12283969165.885887</c:v>
                </c:pt>
                <c:pt idx="248">
                  <c:v>13085876197.717718</c:v>
                </c:pt>
                <c:pt idx="249">
                  <c:v>13160749492.412413</c:v>
                </c:pt>
                <c:pt idx="250">
                  <c:v>13075253041.77177</c:v>
                </c:pt>
                <c:pt idx="251">
                  <c:v>13731346081.921923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61F-93D2-8E1AF92D1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133440"/>
        <c:axId val="981349504"/>
      </c:lineChart>
      <c:catAx>
        <c:axId val="10241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1349504"/>
        <c:crosses val="autoZero"/>
        <c:auto val="1"/>
        <c:lblAlgn val="ctr"/>
        <c:lblOffset val="100"/>
        <c:noMultiLvlLbl val="0"/>
      </c:catAx>
      <c:valAx>
        <c:axId val="9813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41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TC/IPC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Hoja2!$A$8:$B$139</c:f>
              <c:multiLvlStrCache>
                <c:ptCount val="132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 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 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 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 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 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  <c:pt idx="120">
                    <c:v>Ene.</c:v>
                  </c:pt>
                  <c:pt idx="121">
                    <c:v>Feb.</c:v>
                  </c:pt>
                  <c:pt idx="122">
                    <c:v>Mar.</c:v>
                  </c:pt>
                  <c:pt idx="123">
                    <c:v>Abr.</c:v>
                  </c:pt>
                  <c:pt idx="124">
                    <c:v>May.</c:v>
                  </c:pt>
                  <c:pt idx="125">
                    <c:v>Jun.</c:v>
                  </c:pt>
                  <c:pt idx="126">
                    <c:v>Jul.</c:v>
                  </c:pt>
                  <c:pt idx="127">
                    <c:v>Ago.</c:v>
                  </c:pt>
                  <c:pt idx="128">
                    <c:v>Set.</c:v>
                  </c:pt>
                  <c:pt idx="129">
                    <c:v>Oct.</c:v>
                  </c:pt>
                  <c:pt idx="130">
                    <c:v>Nov.</c:v>
                  </c:pt>
                  <c:pt idx="131">
                    <c:v>Dic.</c:v>
                  </c:pt>
                </c:lvl>
                <c:lvl>
                  <c:pt idx="0">
                    <c:v>1980 </c:v>
                  </c:pt>
                  <c:pt idx="12">
                    <c:v>1981 </c:v>
                  </c:pt>
                  <c:pt idx="24">
                    <c:v>1982 </c:v>
                  </c:pt>
                  <c:pt idx="36">
                    <c:v>1983 </c:v>
                  </c:pt>
                  <c:pt idx="48">
                    <c:v>1984 </c:v>
                  </c:pt>
                  <c:pt idx="60">
                    <c:v>1985 </c:v>
                  </c:pt>
                  <c:pt idx="72">
                    <c:v>1986 </c:v>
                  </c:pt>
                  <c:pt idx="84">
                    <c:v>1987 </c:v>
                  </c:pt>
                  <c:pt idx="96">
                    <c:v>1988 </c:v>
                  </c:pt>
                  <c:pt idx="108">
                    <c:v>1989 </c:v>
                  </c:pt>
                  <c:pt idx="120">
                    <c:v>1990 </c:v>
                  </c:pt>
                </c:lvl>
              </c:multiLvlStrCache>
            </c:multiLvlStrRef>
          </c:cat>
          <c:val>
            <c:numRef>
              <c:f>Hoja2!$O$8:$O$139</c:f>
              <c:numCache>
                <c:formatCode>0.000000000000</c:formatCode>
                <c:ptCount val="132"/>
                <c:pt idx="0">
                  <c:v>1.8367567305509827E-2</c:v>
                </c:pt>
                <c:pt idx="1">
                  <c:v>1.7885308108424713E-2</c:v>
                </c:pt>
                <c:pt idx="2">
                  <c:v>1.7310804571792387E-2</c:v>
                </c:pt>
                <c:pt idx="3">
                  <c:v>1.6657712409111181E-2</c:v>
                </c:pt>
                <c:pt idx="4">
                  <c:v>1.606368436664633E-2</c:v>
                </c:pt>
                <c:pt idx="5">
                  <c:v>1.5466719498805036E-2</c:v>
                </c:pt>
                <c:pt idx="6">
                  <c:v>1.5029035172559272E-2</c:v>
                </c:pt>
                <c:pt idx="7">
                  <c:v>1.4731870716673952E-2</c:v>
                </c:pt>
                <c:pt idx="8">
                  <c:v>1.4260892612607308E-2</c:v>
                </c:pt>
                <c:pt idx="9">
                  <c:v>1.3381770416435769E-2</c:v>
                </c:pt>
                <c:pt idx="10">
                  <c:v>1.2914526227729631E-2</c:v>
                </c:pt>
                <c:pt idx="11">
                  <c:v>1.2566033055718018E-2</c:v>
                </c:pt>
                <c:pt idx="12">
                  <c:v>1.2159404633297321E-2</c:v>
                </c:pt>
                <c:pt idx="13">
                  <c:v>1.2991128010139416E-2</c:v>
                </c:pt>
                <c:pt idx="14">
                  <c:v>1.2843787368192196E-2</c:v>
                </c:pt>
                <c:pt idx="15">
                  <c:v>1.5920197491057483E-2</c:v>
                </c:pt>
                <c:pt idx="16">
                  <c:v>1.5338486765050363E-2</c:v>
                </c:pt>
                <c:pt idx="17">
                  <c:v>2.827036751477769E-2</c:v>
                </c:pt>
                <c:pt idx="18">
                  <c:v>2.8363834168706529E-2</c:v>
                </c:pt>
                <c:pt idx="19">
                  <c:v>2.6821716589861752E-2</c:v>
                </c:pt>
                <c:pt idx="20">
                  <c:v>2.5771983468297437E-2</c:v>
                </c:pt>
                <c:pt idx="21">
                  <c:v>2.9211913380326408E-2</c:v>
                </c:pt>
                <c:pt idx="22">
                  <c:v>3.1542471271176403E-2</c:v>
                </c:pt>
                <c:pt idx="23">
                  <c:v>2.8854529616724738E-2</c:v>
                </c:pt>
                <c:pt idx="24">
                  <c:v>2.4503842786263257E-2</c:v>
                </c:pt>
                <c:pt idx="25">
                  <c:v>2.321605950703412E-2</c:v>
                </c:pt>
                <c:pt idx="26">
                  <c:v>2.5590116920361793E-2</c:v>
                </c:pt>
                <c:pt idx="27">
                  <c:v>2.5408117893667023E-2</c:v>
                </c:pt>
                <c:pt idx="28">
                  <c:v>2.9995480133130619E-2</c:v>
                </c:pt>
                <c:pt idx="29">
                  <c:v>2.9990288858845707E-2</c:v>
                </c:pt>
                <c:pt idx="30">
                  <c:v>6.3875786163522019E-2</c:v>
                </c:pt>
                <c:pt idx="31">
                  <c:v>5.5694394858978938E-2</c:v>
                </c:pt>
                <c:pt idx="32">
                  <c:v>4.7574899970723145E-2</c:v>
                </c:pt>
                <c:pt idx="33">
                  <c:v>4.2217844075429216E-2</c:v>
                </c:pt>
                <c:pt idx="34">
                  <c:v>4.2194092827004218E-2</c:v>
                </c:pt>
                <c:pt idx="35">
                  <c:v>4.2686892478599421E-2</c:v>
                </c:pt>
                <c:pt idx="36">
                  <c:v>4.0973295747325028E-2</c:v>
                </c:pt>
                <c:pt idx="37">
                  <c:v>4.0444873496641325E-2</c:v>
                </c:pt>
                <c:pt idx="38">
                  <c:v>3.9991082295947264E-2</c:v>
                </c:pt>
                <c:pt idx="39">
                  <c:v>4.0659424724602204E-2</c:v>
                </c:pt>
                <c:pt idx="40">
                  <c:v>4.0649347395846379E-2</c:v>
                </c:pt>
                <c:pt idx="41">
                  <c:v>3.8459375635330195E-2</c:v>
                </c:pt>
                <c:pt idx="42">
                  <c:v>3.8355458276754774E-2</c:v>
                </c:pt>
                <c:pt idx="43">
                  <c:v>3.7015164340505384E-2</c:v>
                </c:pt>
                <c:pt idx="44">
                  <c:v>3.5375407522748287E-2</c:v>
                </c:pt>
                <c:pt idx="45">
                  <c:v>3.6554194592096148E-2</c:v>
                </c:pt>
                <c:pt idx="46">
                  <c:v>3.7392597072089098E-2</c:v>
                </c:pt>
                <c:pt idx="47">
                  <c:v>3.8322132509506023E-2</c:v>
                </c:pt>
                <c:pt idx="48">
                  <c:v>3.8505099577108237E-2</c:v>
                </c:pt>
                <c:pt idx="49">
                  <c:v>3.6375466079427439E-2</c:v>
                </c:pt>
                <c:pt idx="50">
                  <c:v>3.4053930339977528E-2</c:v>
                </c:pt>
                <c:pt idx="51">
                  <c:v>3.294972743791641E-2</c:v>
                </c:pt>
                <c:pt idx="52">
                  <c:v>3.2994174058439366E-2</c:v>
                </c:pt>
                <c:pt idx="53">
                  <c:v>3.2601811105741105E-2</c:v>
                </c:pt>
                <c:pt idx="54">
                  <c:v>3.3209322330044894E-2</c:v>
                </c:pt>
                <c:pt idx="55">
                  <c:v>3.256978301399599E-2</c:v>
                </c:pt>
                <c:pt idx="56">
                  <c:v>3.151118782018509E-2</c:v>
                </c:pt>
                <c:pt idx="57">
                  <c:v>3.4543007660631717E-2</c:v>
                </c:pt>
                <c:pt idx="58">
                  <c:v>3.7196180338447231E-2</c:v>
                </c:pt>
                <c:pt idx="59">
                  <c:v>3.7368939120039961E-2</c:v>
                </c:pt>
                <c:pt idx="60">
                  <c:v>3.7321932564004068E-2</c:v>
                </c:pt>
                <c:pt idx="61">
                  <c:v>3.7102375714305483E-2</c:v>
                </c:pt>
                <c:pt idx="62">
                  <c:v>3.751121321518433E-2</c:v>
                </c:pt>
                <c:pt idx="63">
                  <c:v>3.7907784340067426E-2</c:v>
                </c:pt>
                <c:pt idx="64">
                  <c:v>4.0662784885370375E-2</c:v>
                </c:pt>
                <c:pt idx="65">
                  <c:v>4.144932935916542E-2</c:v>
                </c:pt>
                <c:pt idx="66">
                  <c:v>3.90341365951122E-2</c:v>
                </c:pt>
                <c:pt idx="67">
                  <c:v>3.7870370808137641E-2</c:v>
                </c:pt>
                <c:pt idx="68">
                  <c:v>3.7130433976433071E-2</c:v>
                </c:pt>
                <c:pt idx="69">
                  <c:v>3.6424157265050543E-2</c:v>
                </c:pt>
                <c:pt idx="70">
                  <c:v>3.5580549299716158E-2</c:v>
                </c:pt>
                <c:pt idx="71">
                  <c:v>3.448543087414755E-2</c:v>
                </c:pt>
                <c:pt idx="72">
                  <c:v>3.3473188018186682E-2</c:v>
                </c:pt>
                <c:pt idx="73">
                  <c:v>3.2914877442419506E-2</c:v>
                </c:pt>
                <c:pt idx="74">
                  <c:v>3.145419703443076E-2</c:v>
                </c:pt>
                <c:pt idx="75">
                  <c:v>3.1532730674485483E-2</c:v>
                </c:pt>
                <c:pt idx="76">
                  <c:v>3.1033065893903682E-2</c:v>
                </c:pt>
                <c:pt idx="77">
                  <c:v>3.0717888429595355E-2</c:v>
                </c:pt>
                <c:pt idx="78">
                  <c:v>2.9738840669559827E-2</c:v>
                </c:pt>
                <c:pt idx="79">
                  <c:v>2.9920923274203891E-2</c:v>
                </c:pt>
                <c:pt idx="80">
                  <c:v>2.9620279095003584E-2</c:v>
                </c:pt>
                <c:pt idx="81">
                  <c:v>2.9520468568922854E-2</c:v>
                </c:pt>
                <c:pt idx="82">
                  <c:v>2.9274991571975328E-2</c:v>
                </c:pt>
                <c:pt idx="83">
                  <c:v>2.9797194472253576E-2</c:v>
                </c:pt>
                <c:pt idx="84">
                  <c:v>2.9303706962930373E-2</c:v>
                </c:pt>
                <c:pt idx="85">
                  <c:v>3.1845422607976855E-2</c:v>
                </c:pt>
                <c:pt idx="86">
                  <c:v>2.9416256251670294E-2</c:v>
                </c:pt>
                <c:pt idx="87">
                  <c:v>2.8466398197066541E-2</c:v>
                </c:pt>
                <c:pt idx="88">
                  <c:v>2.8768046539675785E-2</c:v>
                </c:pt>
                <c:pt idx="89">
                  <c:v>2.9585118783759377E-2</c:v>
                </c:pt>
                <c:pt idx="90">
                  <c:v>2.9481501364470097E-2</c:v>
                </c:pt>
                <c:pt idx="91">
                  <c:v>2.9769631173871436E-2</c:v>
                </c:pt>
                <c:pt idx="92">
                  <c:v>3.0945447713876431E-2</c:v>
                </c:pt>
                <c:pt idx="93">
                  <c:v>3.0735089063021664E-2</c:v>
                </c:pt>
                <c:pt idx="94">
                  <c:v>3.8736909596067536E-2</c:v>
                </c:pt>
                <c:pt idx="95">
                  <c:v>4.4098014728047891E-2</c:v>
                </c:pt>
                <c:pt idx="96">
                  <c:v>4.3739144165482392E-2</c:v>
                </c:pt>
                <c:pt idx="97">
                  <c:v>4.4115544115544116E-2</c:v>
                </c:pt>
                <c:pt idx="98">
                  <c:v>4.1246105919003122E-2</c:v>
                </c:pt>
                <c:pt idx="99">
                  <c:v>3.9806547619047616E-2</c:v>
                </c:pt>
                <c:pt idx="100">
                  <c:v>4.2256108763549516E-2</c:v>
                </c:pt>
                <c:pt idx="101">
                  <c:v>4.3645849556143916E-2</c:v>
                </c:pt>
                <c:pt idx="102">
                  <c:v>4.0159895881751416E-2</c:v>
                </c:pt>
                <c:pt idx="103">
                  <c:v>3.498846667476023E-2</c:v>
                </c:pt>
                <c:pt idx="104">
                  <c:v>3.2585539759140907E-2</c:v>
                </c:pt>
                <c:pt idx="105">
                  <c:v>3.0136822370258085E-2</c:v>
                </c:pt>
                <c:pt idx="106">
                  <c:v>2.9565479896605726E-2</c:v>
                </c:pt>
                <c:pt idx="107">
                  <c:v>2.9207649790743261E-2</c:v>
                </c:pt>
                <c:pt idx="108">
                  <c:v>2.8388456549935156E-2</c:v>
                </c:pt>
                <c:pt idx="109">
                  <c:v>4.1718444878395169E-2</c:v>
                </c:pt>
                <c:pt idx="110">
                  <c:v>6.2965444867304751E-2</c:v>
                </c:pt>
                <c:pt idx="111">
                  <c:v>7.2996852603238419E-2</c:v>
                </c:pt>
                <c:pt idx="112">
                  <c:v>9.4020907700152978E-2</c:v>
                </c:pt>
                <c:pt idx="113">
                  <c:v>6.4890515830066109E-2</c:v>
                </c:pt>
                <c:pt idx="114">
                  <c:v>5.468906552668492E-2</c:v>
                </c:pt>
                <c:pt idx="115">
                  <c:v>3.9669609687379252E-2</c:v>
                </c:pt>
                <c:pt idx="116">
                  <c:v>3.6275869402439508E-2</c:v>
                </c:pt>
                <c:pt idx="117">
                  <c:v>3.4353681377210246E-2</c:v>
                </c:pt>
                <c:pt idx="118">
                  <c:v>3.2251218776019476E-2</c:v>
                </c:pt>
                <c:pt idx="119">
                  <c:v>6.3273674460460103E-2</c:v>
                </c:pt>
                <c:pt idx="120">
                  <c:v>3.6681051392703022E-2</c:v>
                </c:pt>
                <c:pt idx="121">
                  <c:v>7.2479603729603728E-2</c:v>
                </c:pt>
                <c:pt idx="122">
                  <c:v>2.8934753992499319E-2</c:v>
                </c:pt>
                <c:pt idx="123">
                  <c:v>2.7931559316931212E-2</c:v>
                </c:pt>
                <c:pt idx="124">
                  <c:v>2.4585940375414058E-2</c:v>
                </c:pt>
                <c:pt idx="125">
                  <c:v>2.270621943600681E-2</c:v>
                </c:pt>
                <c:pt idx="126">
                  <c:v>2.1188088018039033E-2</c:v>
                </c:pt>
                <c:pt idx="127">
                  <c:v>2.0898500701110989E-2</c:v>
                </c:pt>
                <c:pt idx="128">
                  <c:v>1.6361580735586367E-2</c:v>
                </c:pt>
                <c:pt idx="129">
                  <c:v>1.5071406538338737E-2</c:v>
                </c:pt>
                <c:pt idx="130">
                  <c:v>1.3072861453151759E-2</c:v>
                </c:pt>
                <c:pt idx="131">
                  <c:v>1.3608688137070408E-2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8-4DA7-85A1-F9D53DC4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133440"/>
        <c:axId val="981349504"/>
      </c:lineChart>
      <c:catAx>
        <c:axId val="10241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1349504"/>
        <c:crosses val="autoZero"/>
        <c:auto val="1"/>
        <c:lblAlgn val="ctr"/>
        <c:lblOffset val="100"/>
        <c:noMultiLvlLbl val="0"/>
      </c:catAx>
      <c:valAx>
        <c:axId val="9813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41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TC/IPC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Hoja2!$A$140:$B$259</c:f>
              <c:multiLvlStrCache>
                <c:ptCount val="120"/>
                <c:lvl>
                  <c:pt idx="0">
                    <c:v>Ene.</c:v>
                  </c:pt>
                  <c:pt idx="1">
                    <c:v>Feb.</c:v>
                  </c:pt>
                  <c:pt idx="2">
                    <c:v>Mar.</c:v>
                  </c:pt>
                  <c:pt idx="3">
                    <c:v>Abr.</c:v>
                  </c:pt>
                  <c:pt idx="4">
                    <c:v>May.</c:v>
                  </c:pt>
                  <c:pt idx="5">
                    <c:v>Jun.</c:v>
                  </c:pt>
                  <c:pt idx="6">
                    <c:v>Jul.</c:v>
                  </c:pt>
                  <c:pt idx="7">
                    <c:v>Ago.</c:v>
                  </c:pt>
                  <c:pt idx="8">
                    <c:v>Set.</c:v>
                  </c:pt>
                  <c:pt idx="9">
                    <c:v>Oct.</c:v>
                  </c:pt>
                  <c:pt idx="10">
                    <c:v>Nov.</c:v>
                  </c:pt>
                  <c:pt idx="11">
                    <c:v>Dic.</c:v>
                  </c:pt>
                  <c:pt idx="12">
                    <c:v>Ene.</c:v>
                  </c:pt>
                  <c:pt idx="13">
                    <c:v>Feb.</c:v>
                  </c:pt>
                  <c:pt idx="14">
                    <c:v>Mar.</c:v>
                  </c:pt>
                  <c:pt idx="15">
                    <c:v>Abr.</c:v>
                  </c:pt>
                  <c:pt idx="16">
                    <c:v>May.</c:v>
                  </c:pt>
                  <c:pt idx="17">
                    <c:v>Jun.</c:v>
                  </c:pt>
                  <c:pt idx="18">
                    <c:v>Jul.</c:v>
                  </c:pt>
                  <c:pt idx="19">
                    <c:v>Ago.</c:v>
                  </c:pt>
                  <c:pt idx="20">
                    <c:v>Set.</c:v>
                  </c:pt>
                  <c:pt idx="21">
                    <c:v>Oct.</c:v>
                  </c:pt>
                  <c:pt idx="22">
                    <c:v>Nov.</c:v>
                  </c:pt>
                  <c:pt idx="23">
                    <c:v>Dic.</c:v>
                  </c:pt>
                  <c:pt idx="24">
                    <c:v>Ene.</c:v>
                  </c:pt>
                  <c:pt idx="25">
                    <c:v>Feb.</c:v>
                  </c:pt>
                  <c:pt idx="26">
                    <c:v>Mar.</c:v>
                  </c:pt>
                  <c:pt idx="27">
                    <c:v>Abr.</c:v>
                  </c:pt>
                  <c:pt idx="28">
                    <c:v>May.</c:v>
                  </c:pt>
                  <c:pt idx="29">
                    <c:v>Jun.</c:v>
                  </c:pt>
                  <c:pt idx="30">
                    <c:v>Jul.</c:v>
                  </c:pt>
                  <c:pt idx="31">
                    <c:v>Ago.</c:v>
                  </c:pt>
                  <c:pt idx="32">
                    <c:v>Set.</c:v>
                  </c:pt>
                  <c:pt idx="33">
                    <c:v>Oct.</c:v>
                  </c:pt>
                  <c:pt idx="34">
                    <c:v>Nov.</c:v>
                  </c:pt>
                  <c:pt idx="35">
                    <c:v>Dic.</c:v>
                  </c:pt>
                  <c:pt idx="36">
                    <c:v>Ene.</c:v>
                  </c:pt>
                  <c:pt idx="37">
                    <c:v>Feb.</c:v>
                  </c:pt>
                  <c:pt idx="38">
                    <c:v>Mar.</c:v>
                  </c:pt>
                  <c:pt idx="39">
                    <c:v>Abr.</c:v>
                  </c:pt>
                  <c:pt idx="40">
                    <c:v>May.</c:v>
                  </c:pt>
                  <c:pt idx="41">
                    <c:v>Jun.</c:v>
                  </c:pt>
                  <c:pt idx="42">
                    <c:v>Jul.</c:v>
                  </c:pt>
                  <c:pt idx="43">
                    <c:v>Ago.</c:v>
                  </c:pt>
                  <c:pt idx="44">
                    <c:v>Set.</c:v>
                  </c:pt>
                  <c:pt idx="45">
                    <c:v>Oct.</c:v>
                  </c:pt>
                  <c:pt idx="46">
                    <c:v>Nov.</c:v>
                  </c:pt>
                  <c:pt idx="47">
                    <c:v>Dic.</c:v>
                  </c:pt>
                  <c:pt idx="48">
                    <c:v>Ene.</c:v>
                  </c:pt>
                  <c:pt idx="49">
                    <c:v>Feb.</c:v>
                  </c:pt>
                  <c:pt idx="50">
                    <c:v>Mar.</c:v>
                  </c:pt>
                  <c:pt idx="51">
                    <c:v>Abr.</c:v>
                  </c:pt>
                  <c:pt idx="52">
                    <c:v>May.</c:v>
                  </c:pt>
                  <c:pt idx="53">
                    <c:v>Jun.</c:v>
                  </c:pt>
                  <c:pt idx="54">
                    <c:v>Jul.</c:v>
                  </c:pt>
                  <c:pt idx="55">
                    <c:v>Ago.</c:v>
                  </c:pt>
                  <c:pt idx="56">
                    <c:v>Set.</c:v>
                  </c:pt>
                  <c:pt idx="57">
                    <c:v>Oct.</c:v>
                  </c:pt>
                  <c:pt idx="58">
                    <c:v>Nov.</c:v>
                  </c:pt>
                  <c:pt idx="59">
                    <c:v>Dic.</c:v>
                  </c:pt>
                  <c:pt idx="60">
                    <c:v>Ene.</c:v>
                  </c:pt>
                  <c:pt idx="61">
                    <c:v>Feb.</c:v>
                  </c:pt>
                  <c:pt idx="62">
                    <c:v>Mar.</c:v>
                  </c:pt>
                  <c:pt idx="63">
                    <c:v>Abr.</c:v>
                  </c:pt>
                  <c:pt idx="64">
                    <c:v>May.</c:v>
                  </c:pt>
                  <c:pt idx="65">
                    <c:v>Jun.</c:v>
                  </c:pt>
                  <c:pt idx="66">
                    <c:v>Jul.</c:v>
                  </c:pt>
                  <c:pt idx="67">
                    <c:v>Ago.</c:v>
                  </c:pt>
                  <c:pt idx="68">
                    <c:v>Set.</c:v>
                  </c:pt>
                  <c:pt idx="69">
                    <c:v>Oct.</c:v>
                  </c:pt>
                  <c:pt idx="70">
                    <c:v>Nov.</c:v>
                  </c:pt>
                  <c:pt idx="71">
                    <c:v>Dic.</c:v>
                  </c:pt>
                  <c:pt idx="72">
                    <c:v>Ene.</c:v>
                  </c:pt>
                  <c:pt idx="73">
                    <c:v>Feb.</c:v>
                  </c:pt>
                  <c:pt idx="74">
                    <c:v>Mar.</c:v>
                  </c:pt>
                  <c:pt idx="75">
                    <c:v>Abr.</c:v>
                  </c:pt>
                  <c:pt idx="76">
                    <c:v>May.</c:v>
                  </c:pt>
                  <c:pt idx="77">
                    <c:v>Jun.</c:v>
                  </c:pt>
                  <c:pt idx="78">
                    <c:v>Jul.</c:v>
                  </c:pt>
                  <c:pt idx="79">
                    <c:v>Ago.</c:v>
                  </c:pt>
                  <c:pt idx="80">
                    <c:v>Set.</c:v>
                  </c:pt>
                  <c:pt idx="81">
                    <c:v>Oct.</c:v>
                  </c:pt>
                  <c:pt idx="82">
                    <c:v>Nov.</c:v>
                  </c:pt>
                  <c:pt idx="83">
                    <c:v>Dic.</c:v>
                  </c:pt>
                  <c:pt idx="84">
                    <c:v>Ene.</c:v>
                  </c:pt>
                  <c:pt idx="85">
                    <c:v>Feb.</c:v>
                  </c:pt>
                  <c:pt idx="86">
                    <c:v>Mar.</c:v>
                  </c:pt>
                  <c:pt idx="87">
                    <c:v>Abr.</c:v>
                  </c:pt>
                  <c:pt idx="88">
                    <c:v>May.</c:v>
                  </c:pt>
                  <c:pt idx="89">
                    <c:v>Jun.</c:v>
                  </c:pt>
                  <c:pt idx="90">
                    <c:v>Jul.</c:v>
                  </c:pt>
                  <c:pt idx="91">
                    <c:v>Ago.</c:v>
                  </c:pt>
                  <c:pt idx="92">
                    <c:v>Set.</c:v>
                  </c:pt>
                  <c:pt idx="93">
                    <c:v>Oct.</c:v>
                  </c:pt>
                  <c:pt idx="94">
                    <c:v>Nov.</c:v>
                  </c:pt>
                  <c:pt idx="95">
                    <c:v>Dic.</c:v>
                  </c:pt>
                  <c:pt idx="96">
                    <c:v>Ene.</c:v>
                  </c:pt>
                  <c:pt idx="97">
                    <c:v>Feb.</c:v>
                  </c:pt>
                  <c:pt idx="98">
                    <c:v>Mar.</c:v>
                  </c:pt>
                  <c:pt idx="99">
                    <c:v>Abr.</c:v>
                  </c:pt>
                  <c:pt idx="100">
                    <c:v>May.</c:v>
                  </c:pt>
                  <c:pt idx="101">
                    <c:v>Jun.</c:v>
                  </c:pt>
                  <c:pt idx="102">
                    <c:v>Jul.</c:v>
                  </c:pt>
                  <c:pt idx="103">
                    <c:v>Ago.</c:v>
                  </c:pt>
                  <c:pt idx="104">
                    <c:v>Set.</c:v>
                  </c:pt>
                  <c:pt idx="105">
                    <c:v>Oct.</c:v>
                  </c:pt>
                  <c:pt idx="106">
                    <c:v>Nov.</c:v>
                  </c:pt>
                  <c:pt idx="107">
                    <c:v>Dic.</c:v>
                  </c:pt>
                  <c:pt idx="108">
                    <c:v>Ene.</c:v>
                  </c:pt>
                  <c:pt idx="109">
                    <c:v>Feb.</c:v>
                  </c:pt>
                  <c:pt idx="110">
                    <c:v>Mar.</c:v>
                  </c:pt>
                  <c:pt idx="111">
                    <c:v>Abr.</c:v>
                  </c:pt>
                  <c:pt idx="112">
                    <c:v>May.</c:v>
                  </c:pt>
                  <c:pt idx="113">
                    <c:v>Jun.</c:v>
                  </c:pt>
                  <c:pt idx="114">
                    <c:v>Jul.</c:v>
                  </c:pt>
                  <c:pt idx="115">
                    <c:v>Ago.</c:v>
                  </c:pt>
                  <c:pt idx="116">
                    <c:v>Set.</c:v>
                  </c:pt>
                  <c:pt idx="117">
                    <c:v>Oct.</c:v>
                  </c:pt>
                  <c:pt idx="118">
                    <c:v>Nov.</c:v>
                  </c:pt>
                  <c:pt idx="119">
                    <c:v>Dic.</c:v>
                  </c:pt>
                </c:lvl>
                <c:lvl>
                  <c:pt idx="0">
                    <c:v>1991 </c:v>
                  </c:pt>
                  <c:pt idx="12">
                    <c:v>1992 </c:v>
                  </c:pt>
                  <c:pt idx="24">
                    <c:v>1993 </c:v>
                  </c:pt>
                  <c:pt idx="36">
                    <c:v>1994 </c:v>
                  </c:pt>
                  <c:pt idx="48">
                    <c:v>1995 </c:v>
                  </c:pt>
                  <c:pt idx="60">
                    <c:v>1996 </c:v>
                  </c:pt>
                  <c:pt idx="72">
                    <c:v>1997 </c:v>
                  </c:pt>
                  <c:pt idx="84">
                    <c:v>1998 </c:v>
                  </c:pt>
                  <c:pt idx="96">
                    <c:v>1999 </c:v>
                  </c:pt>
                  <c:pt idx="108">
                    <c:v>2000 </c:v>
                  </c:pt>
                </c:lvl>
              </c:multiLvlStrCache>
            </c:multiLvlStrRef>
          </c:cat>
          <c:val>
            <c:numRef>
              <c:f>Hoja2!$O$140:$O$259</c:f>
              <c:numCache>
                <c:formatCode>0.000000000000</c:formatCode>
                <c:ptCount val="120"/>
                <c:pt idx="0">
                  <c:v>2.1316033364226137E-2</c:v>
                </c:pt>
                <c:pt idx="1">
                  <c:v>1.7782350438684712E-2</c:v>
                </c:pt>
                <c:pt idx="2">
                  <c:v>1.5444962393480253E-2</c:v>
                </c:pt>
                <c:pt idx="3">
                  <c:v>1.4904193836561308E-2</c:v>
                </c:pt>
                <c:pt idx="4">
                  <c:v>1.4645377912819361E-2</c:v>
                </c:pt>
                <c:pt idx="5">
                  <c:v>1.4294906427477175E-2</c:v>
                </c:pt>
                <c:pt idx="6">
                  <c:v>1.3912926869130484E-2</c:v>
                </c:pt>
                <c:pt idx="7">
                  <c:v>1.3741150643827721E-2</c:v>
                </c:pt>
                <c:pt idx="8">
                  <c:v>1.3428111500750675E-2</c:v>
                </c:pt>
                <c:pt idx="9">
                  <c:v>1.3249141346011151E-2</c:v>
                </c:pt>
                <c:pt idx="10">
                  <c:v>1.3197812705591557E-2</c:v>
                </c:pt>
                <c:pt idx="11">
                  <c:v>1.3218534528955736E-2</c:v>
                </c:pt>
                <c:pt idx="12">
                  <c:v>1.2828217455621301E-2</c:v>
                </c:pt>
                <c:pt idx="13">
                  <c:v>1.255771331457009E-2</c:v>
                </c:pt>
                <c:pt idx="14">
                  <c:v>1.2299471824483214E-2</c:v>
                </c:pt>
                <c:pt idx="15">
                  <c:v>1.2143224408975046E-2</c:v>
                </c:pt>
                <c:pt idx="16">
                  <c:v>1.206204163638076E-2</c:v>
                </c:pt>
                <c:pt idx="17">
                  <c:v>1.196819981023395E-2</c:v>
                </c:pt>
                <c:pt idx="18">
                  <c:v>1.1764816720878252E-2</c:v>
                </c:pt>
                <c:pt idx="19">
                  <c:v>1.1591330752067351E-2</c:v>
                </c:pt>
                <c:pt idx="20">
                  <c:v>1.1472723284575216E-2</c:v>
                </c:pt>
                <c:pt idx="21">
                  <c:v>1.1329305135951663E-2</c:v>
                </c:pt>
                <c:pt idx="22">
                  <c:v>1.1277329745057843E-2</c:v>
                </c:pt>
                <c:pt idx="23">
                  <c:v>1.1245428378778446E-2</c:v>
                </c:pt>
                <c:pt idx="24">
                  <c:v>1.1152590660849606E-2</c:v>
                </c:pt>
                <c:pt idx="25">
                  <c:v>1.1071717911690027E-2</c:v>
                </c:pt>
                <c:pt idx="26">
                  <c:v>1.0989095605131765E-2</c:v>
                </c:pt>
                <c:pt idx="27">
                  <c:v>1.0875410685553666E-2</c:v>
                </c:pt>
                <c:pt idx="28">
                  <c:v>1.0737271120932411E-2</c:v>
                </c:pt>
                <c:pt idx="29">
                  <c:v>1.0660594005310022E-2</c:v>
                </c:pt>
                <c:pt idx="30">
                  <c:v>1.0626404754332202E-2</c:v>
                </c:pt>
                <c:pt idx="31">
                  <c:v>1.0624709522143319E-2</c:v>
                </c:pt>
                <c:pt idx="32">
                  <c:v>1.0537863524646364E-2</c:v>
                </c:pt>
                <c:pt idx="33">
                  <c:v>1.0478628946399558E-2</c:v>
                </c:pt>
                <c:pt idx="34">
                  <c:v>1.0472642187870185E-2</c:v>
                </c:pt>
                <c:pt idx="35">
                  <c:v>1.0474014692977167E-2</c:v>
                </c:pt>
                <c:pt idx="36">
                  <c:v>1.0463483072514346E-2</c:v>
                </c:pt>
                <c:pt idx="37">
                  <c:v>1.0463855705629427E-2</c:v>
                </c:pt>
                <c:pt idx="38">
                  <c:v>1.0449288004970471E-2</c:v>
                </c:pt>
                <c:pt idx="39">
                  <c:v>1.042391636659213E-2</c:v>
                </c:pt>
                <c:pt idx="40">
                  <c:v>1.0387908848439474E-2</c:v>
                </c:pt>
                <c:pt idx="41">
                  <c:v>1.0347860043898129E-2</c:v>
                </c:pt>
                <c:pt idx="42">
                  <c:v>1.0253199634620713E-2</c:v>
                </c:pt>
                <c:pt idx="43">
                  <c:v>1.0232091279677162E-2</c:v>
                </c:pt>
                <c:pt idx="44">
                  <c:v>1.0162539597282666E-2</c:v>
                </c:pt>
                <c:pt idx="45">
                  <c:v>1.0130078728659909E-2</c:v>
                </c:pt>
                <c:pt idx="46">
                  <c:v>1.0107223579070054E-2</c:v>
                </c:pt>
                <c:pt idx="47">
                  <c:v>1.0085295961540598E-2</c:v>
                </c:pt>
                <c:pt idx="48">
                  <c:v>9.9611822996072373E-3</c:v>
                </c:pt>
                <c:pt idx="49">
                  <c:v>9.9614504829159626E-3</c:v>
                </c:pt>
                <c:pt idx="50">
                  <c:v>1.0006410513241717E-2</c:v>
                </c:pt>
                <c:pt idx="51">
                  <c:v>9.9608545396170818E-3</c:v>
                </c:pt>
                <c:pt idx="52">
                  <c:v>9.9587593718505046E-3</c:v>
                </c:pt>
                <c:pt idx="53">
                  <c:v>9.9793121566801955E-3</c:v>
                </c:pt>
                <c:pt idx="54">
                  <c:v>9.9389930874750777E-3</c:v>
                </c:pt>
                <c:pt idx="55">
                  <c:v>9.9631294399005876E-3</c:v>
                </c:pt>
                <c:pt idx="56">
                  <c:v>9.9467812355316151E-3</c:v>
                </c:pt>
                <c:pt idx="57">
                  <c:v>9.9130745415575133E-3</c:v>
                </c:pt>
                <c:pt idx="58">
                  <c:v>9.935770564260267E-3</c:v>
                </c:pt>
                <c:pt idx="59">
                  <c:v>9.925711168759942E-3</c:v>
                </c:pt>
                <c:pt idx="60">
                  <c:v>9.8960469304423797E-3</c:v>
                </c:pt>
                <c:pt idx="61">
                  <c:v>9.928305509563572E-3</c:v>
                </c:pt>
                <c:pt idx="62">
                  <c:v>9.982164001259012E-3</c:v>
                </c:pt>
                <c:pt idx="63">
                  <c:v>9.9820044144640144E-3</c:v>
                </c:pt>
                <c:pt idx="64">
                  <c:v>9.99091916456314E-3</c:v>
                </c:pt>
                <c:pt idx="65">
                  <c:v>9.9906593835193125E-3</c:v>
                </c:pt>
                <c:pt idx="66">
                  <c:v>9.9367786137447827E-3</c:v>
                </c:pt>
                <c:pt idx="67">
                  <c:v>9.9444840962912753E-3</c:v>
                </c:pt>
                <c:pt idx="68">
                  <c:v>9.9264607248999159E-3</c:v>
                </c:pt>
                <c:pt idx="69">
                  <c:v>9.8766750306977739E-3</c:v>
                </c:pt>
                <c:pt idx="70">
                  <c:v>9.8920391364319144E-3</c:v>
                </c:pt>
                <c:pt idx="71">
                  <c:v>9.9203196746055714E-3</c:v>
                </c:pt>
                <c:pt idx="72">
                  <c:v>9.8742051956703727E-3</c:v>
                </c:pt>
                <c:pt idx="73">
                  <c:v>9.836385172757053E-3</c:v>
                </c:pt>
                <c:pt idx="74">
                  <c:v>9.8851091072628336E-3</c:v>
                </c:pt>
                <c:pt idx="75">
                  <c:v>9.9178870433081073E-3</c:v>
                </c:pt>
                <c:pt idx="76">
                  <c:v>9.9261253831593697E-3</c:v>
                </c:pt>
                <c:pt idx="77">
                  <c:v>9.9035813491473394E-3</c:v>
                </c:pt>
                <c:pt idx="78">
                  <c:v>9.8816184092869411E-3</c:v>
                </c:pt>
                <c:pt idx="79">
                  <c:v>9.8653805133552958E-3</c:v>
                </c:pt>
                <c:pt idx="80">
                  <c:v>9.8701078005467586E-3</c:v>
                </c:pt>
                <c:pt idx="81">
                  <c:v>9.8855981974368696E-3</c:v>
                </c:pt>
                <c:pt idx="82">
                  <c:v>9.904739998096386E-3</c:v>
                </c:pt>
                <c:pt idx="83">
                  <c:v>9.8878877828663392E-3</c:v>
                </c:pt>
                <c:pt idx="84">
                  <c:v>9.8261296360594372E-3</c:v>
                </c:pt>
                <c:pt idx="85">
                  <c:v>9.7919864500079397E-3</c:v>
                </c:pt>
                <c:pt idx="86">
                  <c:v>9.8042968140451704E-3</c:v>
                </c:pt>
                <c:pt idx="87">
                  <c:v>9.8031904036677067E-3</c:v>
                </c:pt>
                <c:pt idx="88">
                  <c:v>9.8102757482913042E-3</c:v>
                </c:pt>
                <c:pt idx="89">
                  <c:v>9.7915833548963809E-3</c:v>
                </c:pt>
                <c:pt idx="90">
                  <c:v>9.7610735422144455E-3</c:v>
                </c:pt>
                <c:pt idx="91">
                  <c:v>9.7591092346181688E-3</c:v>
                </c:pt>
                <c:pt idx="92">
                  <c:v>9.7621227682214082E-3</c:v>
                </c:pt>
                <c:pt idx="93">
                  <c:v>9.7979695939285922E-3</c:v>
                </c:pt>
                <c:pt idx="94">
                  <c:v>9.8212898824001308E-3</c:v>
                </c:pt>
                <c:pt idx="95">
                  <c:v>9.8226225123888931E-3</c:v>
                </c:pt>
                <c:pt idx="96">
                  <c:v>9.7765390464596008E-3</c:v>
                </c:pt>
                <c:pt idx="97">
                  <c:v>9.7922647969550854E-3</c:v>
                </c:pt>
                <c:pt idx="98">
                  <c:v>9.8663450969005452E-3</c:v>
                </c:pt>
                <c:pt idx="99">
                  <c:v>9.8760110801133314E-3</c:v>
                </c:pt>
                <c:pt idx="100">
                  <c:v>9.9248828436627294E-3</c:v>
                </c:pt>
                <c:pt idx="101">
                  <c:v>9.9254843517138595E-3</c:v>
                </c:pt>
                <c:pt idx="102">
                  <c:v>9.9070679343217921E-3</c:v>
                </c:pt>
                <c:pt idx="103">
                  <c:v>9.9445038946818307E-3</c:v>
                </c:pt>
                <c:pt idx="104">
                  <c:v>9.9643517585734313E-3</c:v>
                </c:pt>
                <c:pt idx="105">
                  <c:v>9.9659123897539656E-3</c:v>
                </c:pt>
                <c:pt idx="106">
                  <c:v>9.9975181336364946E-3</c:v>
                </c:pt>
                <c:pt idx="107">
                  <c:v>1.0003735128331198E-2</c:v>
                </c:pt>
                <c:pt idx="108">
                  <c:v>9.9198862440272161E-3</c:v>
                </c:pt>
                <c:pt idx="109">
                  <c:v>9.9194823996210935E-3</c:v>
                </c:pt>
                <c:pt idx="110">
                  <c:v>9.9721697604682833E-3</c:v>
                </c:pt>
                <c:pt idx="111">
                  <c:v>9.9834009719575352E-3</c:v>
                </c:pt>
                <c:pt idx="112">
                  <c:v>1.0022352152749074E-2</c:v>
                </c:pt>
                <c:pt idx="113">
                  <c:v>1.0040917492605E-2</c:v>
                </c:pt>
                <c:pt idx="114">
                  <c:v>9.9974981235926956E-3</c:v>
                </c:pt>
                <c:pt idx="115">
                  <c:v>1.0019055260254739E-2</c:v>
                </c:pt>
                <c:pt idx="116">
                  <c:v>1.0034462704242499E-2</c:v>
                </c:pt>
                <c:pt idx="117">
                  <c:v>1.0016041708441949E-2</c:v>
                </c:pt>
                <c:pt idx="118">
                  <c:v>1.0065491183879094E-2</c:v>
                </c:pt>
                <c:pt idx="119">
                  <c:v>1.0077675779279734E-2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9-46FD-AF2F-D2BCD61C9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133440"/>
        <c:axId val="981349504"/>
      </c:lineChart>
      <c:catAx>
        <c:axId val="10241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81349504"/>
        <c:crosses val="autoZero"/>
        <c:auto val="1"/>
        <c:lblAlgn val="ctr"/>
        <c:lblOffset val="100"/>
        <c:noMultiLvlLbl val="0"/>
      </c:catAx>
      <c:valAx>
        <c:axId val="9813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41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7</xdr:col>
      <xdr:colOff>180975</xdr:colOff>
      <xdr:row>46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E08F31-5100-4B92-A2A7-1F04B41C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934075"/>
          <a:ext cx="3990975" cy="287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28</xdr:row>
      <xdr:rowOff>71437</xdr:rowOff>
    </xdr:from>
    <xdr:to>
      <xdr:col>17</xdr:col>
      <xdr:colOff>257175</xdr:colOff>
      <xdr:row>42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8DBD33-8050-4F39-BBF8-A5ECE2FF7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28</xdr:row>
      <xdr:rowOff>0</xdr:rowOff>
    </xdr:from>
    <xdr:to>
      <xdr:col>24</xdr:col>
      <xdr:colOff>0</xdr:colOff>
      <xdr:row>42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27E3F6-9F17-4E7F-80A1-126F1F0D3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32</xdr:row>
      <xdr:rowOff>147637</xdr:rowOff>
    </xdr:from>
    <xdr:to>
      <xdr:col>20</xdr:col>
      <xdr:colOff>495300</xdr:colOff>
      <xdr:row>47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6A2028-68F2-4646-8416-BFFC36313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251</xdr:row>
      <xdr:rowOff>180981</xdr:rowOff>
    </xdr:from>
    <xdr:to>
      <xdr:col>26</xdr:col>
      <xdr:colOff>19050</xdr:colOff>
      <xdr:row>266</xdr:row>
      <xdr:rowOff>66681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E55FB5-6E01-484B-99CE-A1D72548E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447675</xdr:colOff>
      <xdr:row>274</xdr:row>
      <xdr:rowOff>38106</xdr:rowOff>
    </xdr:from>
    <xdr:to>
      <xdr:col>16</xdr:col>
      <xdr:colOff>847725</xdr:colOff>
      <xdr:row>288</xdr:row>
      <xdr:rowOff>114306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A5488FC-7B8A-4231-8900-B57C6F2E0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100012</xdr:colOff>
      <xdr:row>247</xdr:row>
      <xdr:rowOff>104775</xdr:rowOff>
    </xdr:from>
    <xdr:to>
      <xdr:col>12</xdr:col>
      <xdr:colOff>500062</xdr:colOff>
      <xdr:row>261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C4D08C-F4CF-40DA-9DFD-5E8A9E7A0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264</xdr:row>
      <xdr:rowOff>0</xdr:rowOff>
    </xdr:from>
    <xdr:to>
      <xdr:col>12</xdr:col>
      <xdr:colOff>400050</xdr:colOff>
      <xdr:row>278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8933B45-9E49-4A13-98B0-F230DCAC4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279</xdr:row>
      <xdr:rowOff>0</xdr:rowOff>
    </xdr:from>
    <xdr:to>
      <xdr:col>12</xdr:col>
      <xdr:colOff>400050</xdr:colOff>
      <xdr:row>293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2009BE-29A6-495E-A9BF-B7E3F9BB8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5936-E2FC-4AD7-9B85-2CBCA4AE339C}">
  <dimension ref="A1:T27"/>
  <sheetViews>
    <sheetView topLeftCell="A28" workbookViewId="0">
      <selection activeCell="S47" sqref="S47"/>
    </sheetView>
  </sheetViews>
  <sheetFormatPr baseColWidth="10" defaultRowHeight="15" x14ac:dyDescent="0.25"/>
  <sheetData>
    <row r="1" spans="1:20" ht="16.5" thickBot="1" x14ac:dyDescent="0.3">
      <c r="A1" s="1" t="s">
        <v>0</v>
      </c>
      <c r="B1" s="2" t="s">
        <v>1</v>
      </c>
      <c r="C1" s="2"/>
      <c r="D1" s="2"/>
      <c r="E1" s="2"/>
      <c r="F1" s="1" t="s">
        <v>8</v>
      </c>
      <c r="G1" s="2" t="s">
        <v>9</v>
      </c>
      <c r="H1" s="2"/>
      <c r="I1" s="2"/>
      <c r="J1" s="9" t="s">
        <v>10</v>
      </c>
      <c r="K1" s="1" t="s">
        <v>12</v>
      </c>
      <c r="L1" s="2" t="s">
        <v>1</v>
      </c>
      <c r="M1" s="2"/>
      <c r="N1" s="2"/>
      <c r="O1" s="2"/>
      <c r="P1" s="1" t="s">
        <v>14</v>
      </c>
      <c r="Q1" s="2" t="s">
        <v>9</v>
      </c>
      <c r="R1" s="2"/>
      <c r="S1" s="2"/>
      <c r="T1" s="9" t="s">
        <v>10</v>
      </c>
    </row>
    <row r="2" spans="1:20" x14ac:dyDescent="0.25">
      <c r="A2" s="95" t="s">
        <v>2</v>
      </c>
      <c r="B2" s="101" t="s">
        <v>3</v>
      </c>
      <c r="C2" s="101" t="s">
        <v>4</v>
      </c>
      <c r="D2" s="101" t="s">
        <v>5</v>
      </c>
      <c r="E2" s="101" t="s">
        <v>6</v>
      </c>
      <c r="F2" s="95" t="s">
        <v>2</v>
      </c>
      <c r="G2" s="98" t="s">
        <v>3</v>
      </c>
      <c r="H2" s="98" t="s">
        <v>4</v>
      </c>
      <c r="I2" s="101" t="s">
        <v>5</v>
      </c>
      <c r="J2" s="101" t="s">
        <v>6</v>
      </c>
      <c r="K2" s="95" t="s">
        <v>2</v>
      </c>
      <c r="L2" s="98" t="s">
        <v>3</v>
      </c>
      <c r="M2" s="98" t="s">
        <v>4</v>
      </c>
      <c r="N2" s="101" t="s">
        <v>5</v>
      </c>
      <c r="O2" s="101" t="s">
        <v>6</v>
      </c>
      <c r="P2" s="95" t="s">
        <v>2</v>
      </c>
      <c r="Q2" s="98" t="s">
        <v>3</v>
      </c>
      <c r="R2" s="98" t="s">
        <v>4</v>
      </c>
      <c r="S2" s="101" t="s">
        <v>5</v>
      </c>
      <c r="T2" s="101" t="s">
        <v>6</v>
      </c>
    </row>
    <row r="3" spans="1:20" x14ac:dyDescent="0.25">
      <c r="A3" s="96"/>
      <c r="B3" s="102"/>
      <c r="C3" s="102"/>
      <c r="D3" s="102"/>
      <c r="E3" s="102"/>
      <c r="F3" s="96"/>
      <c r="G3" s="99"/>
      <c r="H3" s="99"/>
      <c r="I3" s="102"/>
      <c r="J3" s="102"/>
      <c r="K3" s="96"/>
      <c r="L3" s="99"/>
      <c r="M3" s="99"/>
      <c r="N3" s="102"/>
      <c r="O3" s="102"/>
      <c r="P3" s="96"/>
      <c r="Q3" s="99"/>
      <c r="R3" s="99"/>
      <c r="S3" s="102"/>
      <c r="T3" s="102"/>
    </row>
    <row r="4" spans="1:20" x14ac:dyDescent="0.25">
      <c r="A4" s="96"/>
      <c r="B4" s="102"/>
      <c r="C4" s="102"/>
      <c r="D4" s="102"/>
      <c r="E4" s="102"/>
      <c r="F4" s="96"/>
      <c r="G4" s="99"/>
      <c r="H4" s="99"/>
      <c r="I4" s="102"/>
      <c r="J4" s="102"/>
      <c r="K4" s="96"/>
      <c r="L4" s="99"/>
      <c r="M4" s="99"/>
      <c r="N4" s="102"/>
      <c r="O4" s="102"/>
      <c r="P4" s="96"/>
      <c r="Q4" s="99"/>
      <c r="R4" s="99"/>
      <c r="S4" s="102"/>
      <c r="T4" s="102"/>
    </row>
    <row r="5" spans="1:20" x14ac:dyDescent="0.25">
      <c r="A5" s="96"/>
      <c r="B5" s="100"/>
      <c r="C5" s="100"/>
      <c r="D5" s="100"/>
      <c r="E5" s="100"/>
      <c r="F5" s="96"/>
      <c r="G5" s="100"/>
      <c r="H5" s="100"/>
      <c r="I5" s="100"/>
      <c r="J5" s="100"/>
      <c r="K5" s="96"/>
      <c r="L5" s="100"/>
      <c r="M5" s="100"/>
      <c r="N5" s="100"/>
      <c r="O5" s="100"/>
      <c r="P5" s="96"/>
      <c r="Q5" s="100"/>
      <c r="R5" s="100"/>
      <c r="S5" s="100"/>
      <c r="T5" s="100"/>
    </row>
    <row r="6" spans="1:20" ht="15.75" thickBot="1" x14ac:dyDescent="0.3">
      <c r="A6" s="97"/>
      <c r="B6" s="104" t="s">
        <v>7</v>
      </c>
      <c r="C6" s="103"/>
      <c r="D6" s="103"/>
      <c r="E6" s="103"/>
      <c r="F6" s="97"/>
      <c r="G6" s="104" t="s">
        <v>11</v>
      </c>
      <c r="H6" s="103"/>
      <c r="I6" s="103"/>
      <c r="J6" s="103"/>
      <c r="K6" s="97"/>
      <c r="L6" s="103" t="s">
        <v>13</v>
      </c>
      <c r="M6" s="103"/>
      <c r="N6" s="103"/>
      <c r="O6" s="103"/>
      <c r="P6" s="97"/>
      <c r="Q6" s="103" t="s">
        <v>13</v>
      </c>
      <c r="R6" s="103"/>
      <c r="S6" s="103"/>
      <c r="T6" s="103"/>
    </row>
    <row r="7" spans="1:20" x14ac:dyDescent="0.25">
      <c r="A7" s="3">
        <v>1980</v>
      </c>
      <c r="B7" s="4">
        <v>0.74446999999999997</v>
      </c>
      <c r="C7" s="4">
        <v>0.91508000000000012</v>
      </c>
      <c r="D7" s="4">
        <v>-7.6270000000000171E-2</v>
      </c>
      <c r="E7" s="4">
        <v>-0.17061000000000015</v>
      </c>
      <c r="F7" s="3">
        <v>1980</v>
      </c>
      <c r="G7" s="10">
        <v>26697236.296388425</v>
      </c>
      <c r="H7" s="10">
        <v>28887218.614308968</v>
      </c>
      <c r="I7" s="10">
        <v>485581.26456608437</v>
      </c>
      <c r="J7" s="10">
        <v>-2189982.3179205465</v>
      </c>
      <c r="K7" s="3">
        <v>1980</v>
      </c>
      <c r="L7" s="11">
        <v>21.114021762204498</v>
      </c>
      <c r="M7" s="11">
        <v>25.952716743667434</v>
      </c>
      <c r="N7" s="11">
        <v>-2.1631045439082039</v>
      </c>
      <c r="O7" s="11">
        <v>-4.8386949814629361</v>
      </c>
      <c r="P7" s="3">
        <v>1980</v>
      </c>
      <c r="Q7" s="11">
        <v>14.002464604934524</v>
      </c>
      <c r="R7" s="11">
        <v>15.151090985271249</v>
      </c>
      <c r="S7" s="11">
        <v>0.25468308383762367</v>
      </c>
      <c r="T7" s="11">
        <v>-1.1486263803367267</v>
      </c>
    </row>
    <row r="8" spans="1:20" x14ac:dyDescent="0.25">
      <c r="A8" s="5">
        <v>1981</v>
      </c>
      <c r="B8" s="6">
        <v>1.4713400000000001</v>
      </c>
      <c r="C8" s="6">
        <v>2.0280999999999998</v>
      </c>
      <c r="D8" s="4">
        <v>-0.16605999999999987</v>
      </c>
      <c r="E8" s="4">
        <v>-0.5567599999999997</v>
      </c>
      <c r="F8" s="5">
        <v>1981</v>
      </c>
      <c r="G8" s="10">
        <v>14733306.268906903</v>
      </c>
      <c r="H8" s="10">
        <v>19154083.890991472</v>
      </c>
      <c r="I8" s="10">
        <v>-1177629.9419860919</v>
      </c>
      <c r="J8" s="10">
        <v>-4420777.622084571</v>
      </c>
      <c r="K8" s="5">
        <v>1981</v>
      </c>
      <c r="L8" s="11">
        <v>21.439513981398594</v>
      </c>
      <c r="M8" s="11">
        <v>29.552298113063248</v>
      </c>
      <c r="N8" s="11">
        <v>-2.419730104361363</v>
      </c>
      <c r="O8" s="11">
        <v>-8.1127841316646556</v>
      </c>
      <c r="P8" s="5">
        <v>1981</v>
      </c>
      <c r="Q8" s="11">
        <v>13.11486139425149</v>
      </c>
      <c r="R8" s="11">
        <v>17.050019240715599</v>
      </c>
      <c r="S8" s="11">
        <v>-1.0482679977583795</v>
      </c>
      <c r="T8" s="11">
        <v>-3.9351578464641097</v>
      </c>
    </row>
    <row r="9" spans="1:20" x14ac:dyDescent="0.25">
      <c r="A9" s="5">
        <v>1982</v>
      </c>
      <c r="B9" s="6">
        <v>3.7433700000000001</v>
      </c>
      <c r="C9" s="6">
        <v>5.6951000000000001</v>
      </c>
      <c r="D9" s="6">
        <v>-0.44293999999999967</v>
      </c>
      <c r="E9" s="6">
        <v>-1.95173</v>
      </c>
      <c r="F9" s="5">
        <v>1982</v>
      </c>
      <c r="G9" s="10">
        <v>6235492.5682682339</v>
      </c>
      <c r="H9" s="10">
        <v>8810867.6114759762</v>
      </c>
      <c r="I9" s="10">
        <v>-72865.537504320426</v>
      </c>
      <c r="J9" s="10">
        <v>-2575375.0432077427</v>
      </c>
      <c r="K9" s="5">
        <v>1982</v>
      </c>
      <c r="L9" s="11">
        <v>18.656344440723093</v>
      </c>
      <c r="M9" s="11">
        <v>28.38344786231713</v>
      </c>
      <c r="N9" s="11">
        <v>-2.207540586843908</v>
      </c>
      <c r="O9" s="11">
        <v>-9.7271034215940393</v>
      </c>
      <c r="P9" s="5">
        <v>1982</v>
      </c>
      <c r="Q9" s="11">
        <v>11.238103004199667</v>
      </c>
      <c r="R9" s="11">
        <v>15.879649713323859</v>
      </c>
      <c r="S9" s="11">
        <v>-0.13132409460273795</v>
      </c>
      <c r="T9" s="11">
        <v>-4.6415467091241922</v>
      </c>
    </row>
    <row r="10" spans="1:20" x14ac:dyDescent="0.25">
      <c r="A10" s="5">
        <v>1983</v>
      </c>
      <c r="B10" s="6">
        <v>18.98</v>
      </c>
      <c r="C10" s="6">
        <v>26.178100000000001</v>
      </c>
      <c r="D10" s="6">
        <v>-3.2508000000000017</v>
      </c>
      <c r="E10" s="6">
        <v>-7.1981000000000002</v>
      </c>
      <c r="F10" s="5">
        <v>1983</v>
      </c>
      <c r="G10" s="10">
        <v>7214367.4507310875</v>
      </c>
      <c r="H10" s="10">
        <v>9057533.3757151943</v>
      </c>
      <c r="I10" s="10">
        <v>-401843.61093452026</v>
      </c>
      <c r="J10" s="10">
        <v>-1843165.924984107</v>
      </c>
      <c r="K10" s="5">
        <v>1983</v>
      </c>
      <c r="L10" s="11">
        <v>18.877178240793203</v>
      </c>
      <c r="M10" s="11">
        <v>26.036283440743336</v>
      </c>
      <c r="N10" s="11">
        <v>-3.2331892004831699</v>
      </c>
      <c r="O10" s="11">
        <v>-7.1591051999501349</v>
      </c>
      <c r="P10" s="5">
        <v>1983</v>
      </c>
      <c r="Q10" s="11">
        <v>11.286722555962561</v>
      </c>
      <c r="R10" s="11">
        <v>14.17031596341945</v>
      </c>
      <c r="S10" s="11">
        <v>-0.62867567787172762</v>
      </c>
      <c r="T10" s="11">
        <v>-2.8835934074568876</v>
      </c>
    </row>
    <row r="11" spans="1:20" x14ac:dyDescent="0.25">
      <c r="A11" s="5">
        <v>1984</v>
      </c>
      <c r="B11" s="6">
        <v>141.06280000000001</v>
      </c>
      <c r="C11" s="6">
        <v>176.87709999999998</v>
      </c>
      <c r="D11" s="6">
        <v>-9.7168999999999812</v>
      </c>
      <c r="E11" s="6">
        <v>-35.814299999999974</v>
      </c>
      <c r="F11" s="5">
        <v>1984</v>
      </c>
      <c r="G11" s="10">
        <v>8702979.5540943183</v>
      </c>
      <c r="H11" s="10">
        <v>9737593.7532107253</v>
      </c>
      <c r="I11" s="10">
        <v>546450.22089797701</v>
      </c>
      <c r="J11" s="10">
        <v>-1034614.1991164071</v>
      </c>
      <c r="K11" s="5">
        <v>1984</v>
      </c>
      <c r="L11" s="11">
        <v>19.4238327523062</v>
      </c>
      <c r="M11" s="11">
        <v>24.355331158270918</v>
      </c>
      <c r="N11" s="11">
        <v>-1.3379816682419727</v>
      </c>
      <c r="O11" s="11">
        <v>-4.9314984059647156</v>
      </c>
      <c r="P11" s="5">
        <v>1984</v>
      </c>
      <c r="Q11" s="11">
        <v>11.663720835685414</v>
      </c>
      <c r="R11" s="11">
        <v>13.050309315656378</v>
      </c>
      <c r="S11" s="11">
        <v>0.73235180980680914</v>
      </c>
      <c r="T11" s="11">
        <v>-1.3865884799709634</v>
      </c>
    </row>
    <row r="12" spans="1:20" x14ac:dyDescent="0.25">
      <c r="A12" s="5">
        <v>1985</v>
      </c>
      <c r="B12" s="7">
        <v>1438.3</v>
      </c>
      <c r="C12" s="7">
        <v>1431.83</v>
      </c>
      <c r="D12" s="6">
        <v>220.29</v>
      </c>
      <c r="E12" s="6">
        <v>6.4700000000000273</v>
      </c>
      <c r="F12" s="5">
        <v>1985</v>
      </c>
      <c r="G12" s="10">
        <v>12410000</v>
      </c>
      <c r="H12" s="10">
        <v>9977361.1111111101</v>
      </c>
      <c r="I12" s="10">
        <v>4017222.222222222</v>
      </c>
      <c r="J12" s="10">
        <v>2432638.8888888885</v>
      </c>
      <c r="K12" s="5">
        <v>1985</v>
      </c>
      <c r="L12" s="11">
        <v>29.526983394184946</v>
      </c>
      <c r="M12" s="11">
        <v>29.394160212261578</v>
      </c>
      <c r="N12" s="11">
        <v>4.5223522018389772</v>
      </c>
      <c r="O12" s="11">
        <v>0.13282318192336606</v>
      </c>
      <c r="P12" s="5">
        <v>1985</v>
      </c>
      <c r="Q12" s="11">
        <v>18.343148301725741</v>
      </c>
      <c r="R12" s="11">
        <v>14.747479010554571</v>
      </c>
      <c r="S12" s="11">
        <v>5.9378326336188927</v>
      </c>
      <c r="T12" s="11">
        <v>3.595669291171169</v>
      </c>
    </row>
    <row r="13" spans="1:20" x14ac:dyDescent="0.25">
      <c r="A13" s="5">
        <v>1986</v>
      </c>
      <c r="B13" s="7">
        <v>2462.86</v>
      </c>
      <c r="C13" s="7">
        <v>2323.83</v>
      </c>
      <c r="D13" s="6">
        <v>421.14</v>
      </c>
      <c r="E13" s="6">
        <v>139.03</v>
      </c>
      <c r="F13" s="5">
        <v>1986</v>
      </c>
      <c r="G13" s="10">
        <v>14360645.161290325</v>
      </c>
      <c r="H13" s="10">
        <v>11570230.414746543</v>
      </c>
      <c r="I13" s="10">
        <v>4374193.5483870991</v>
      </c>
      <c r="J13" s="10">
        <v>2790414.7465437809</v>
      </c>
      <c r="K13" s="5">
        <v>1986</v>
      </c>
      <c r="L13" s="11">
        <v>26.864934785994315</v>
      </c>
      <c r="M13" s="11">
        <v>25.348392277164422</v>
      </c>
      <c r="N13" s="11">
        <v>4.593805021712015</v>
      </c>
      <c r="O13" s="11">
        <v>1.5165425088298949</v>
      </c>
      <c r="P13" s="5">
        <v>1986</v>
      </c>
      <c r="Q13" s="11">
        <v>16.996118674265414</v>
      </c>
      <c r="R13" s="11">
        <v>13.693605475866951</v>
      </c>
      <c r="S13" s="11">
        <v>5.1769479586468199</v>
      </c>
      <c r="T13" s="11">
        <v>3.3025131983984655</v>
      </c>
    </row>
    <row r="14" spans="1:20" x14ac:dyDescent="0.25">
      <c r="A14" s="5">
        <v>1987</v>
      </c>
      <c r="B14" s="7">
        <v>5401.2</v>
      </c>
      <c r="C14" s="7">
        <v>5567.9</v>
      </c>
      <c r="D14" s="6">
        <v>450.20000000000073</v>
      </c>
      <c r="E14" s="6">
        <v>-166.69999999999891</v>
      </c>
      <c r="F14" s="5">
        <v>1987</v>
      </c>
      <c r="G14" s="10">
        <v>11670157.068062827</v>
      </c>
      <c r="H14" s="10">
        <v>10261082.02443281</v>
      </c>
      <c r="I14" s="10">
        <v>2563699.8254799293</v>
      </c>
      <c r="J14" s="10">
        <v>1409075.0436300167</v>
      </c>
      <c r="K14" s="5">
        <v>1987</v>
      </c>
      <c r="L14" s="11">
        <v>25.210861976292755</v>
      </c>
      <c r="M14" s="11">
        <v>25.988957712693551</v>
      </c>
      <c r="N14" s="11">
        <v>2.1013719287800887</v>
      </c>
      <c r="O14" s="11">
        <v>-0.77809573640079499</v>
      </c>
      <c r="P14" s="5">
        <v>1987</v>
      </c>
      <c r="Q14" s="11">
        <v>15.606257316473156</v>
      </c>
      <c r="R14" s="11">
        <v>13.721930689088616</v>
      </c>
      <c r="S14" s="11">
        <v>3.4283822338715506</v>
      </c>
      <c r="T14" s="11">
        <v>1.8843266273845405</v>
      </c>
    </row>
    <row r="15" spans="1:20" x14ac:dyDescent="0.25">
      <c r="A15" s="5">
        <v>1988</v>
      </c>
      <c r="B15" s="8">
        <v>20815.099999999999</v>
      </c>
      <c r="C15" s="8">
        <v>26103.8</v>
      </c>
      <c r="D15" s="7">
        <v>-2711.9000000000051</v>
      </c>
      <c r="E15" s="7">
        <v>-5288.7</v>
      </c>
      <c r="F15" s="5">
        <v>1988</v>
      </c>
      <c r="G15" s="10">
        <v>9621893.6492384411</v>
      </c>
      <c r="H15" s="10">
        <v>11208960.541551616</v>
      </c>
      <c r="I15" s="10">
        <v>-742139.48516968114</v>
      </c>
      <c r="J15" s="10">
        <v>-1587066.8923131744</v>
      </c>
      <c r="K15" s="5">
        <v>1988</v>
      </c>
      <c r="L15" s="11">
        <v>20.411174673048244</v>
      </c>
      <c r="M15" s="11">
        <v>25.597245337774833</v>
      </c>
      <c r="N15" s="11">
        <v>-2.6592744976406379</v>
      </c>
      <c r="O15" s="11">
        <v>-5.1860706647265857</v>
      </c>
      <c r="P15" s="5">
        <v>1988</v>
      </c>
      <c r="Q15" s="11">
        <v>10.592873174070924</v>
      </c>
      <c r="R15" s="11">
        <v>12.340096633599696</v>
      </c>
      <c r="S15" s="11">
        <v>-0.81703142130394857</v>
      </c>
      <c r="T15" s="11">
        <v>-1.7472234595287743</v>
      </c>
    </row>
    <row r="16" spans="1:20" x14ac:dyDescent="0.25">
      <c r="A16" s="5">
        <v>1989</v>
      </c>
      <c r="B16" s="8">
        <v>666619.4</v>
      </c>
      <c r="C16" s="8">
        <v>847643.6</v>
      </c>
      <c r="D16" s="8">
        <v>-68017.899999999994</v>
      </c>
      <c r="E16" s="8">
        <v>-181024.2</v>
      </c>
      <c r="F16" s="5">
        <v>1989</v>
      </c>
      <c r="G16" s="10">
        <v>5846684.5828991393</v>
      </c>
      <c r="H16" s="10">
        <v>5980985.0271485774</v>
      </c>
      <c r="I16" s="10">
        <v>371237.13413407863</v>
      </c>
      <c r="J16" s="10">
        <v>-134300.44424943847</v>
      </c>
      <c r="K16" s="5">
        <v>1989</v>
      </c>
      <c r="L16" s="11">
        <v>22.379277733219258</v>
      </c>
      <c r="M16" s="11">
        <v>28.456494880265733</v>
      </c>
      <c r="N16" s="11">
        <v>-2.2834491089373254</v>
      </c>
      <c r="O16" s="11">
        <v>-6.0772171470464729</v>
      </c>
      <c r="P16" s="5">
        <v>1989</v>
      </c>
      <c r="Q16" s="11">
        <v>10.736362574281275</v>
      </c>
      <c r="R16" s="11">
        <v>10.982980677738814</v>
      </c>
      <c r="S16" s="11">
        <v>0.68170882430674762</v>
      </c>
      <c r="T16" s="11">
        <v>-0.24661810345753932</v>
      </c>
    </row>
    <row r="17" spans="1:20" x14ac:dyDescent="0.25">
      <c r="A17" s="3">
        <v>1990</v>
      </c>
      <c r="B17" s="8">
        <v>12152900</v>
      </c>
      <c r="C17" s="8">
        <v>13655100</v>
      </c>
      <c r="D17" s="8">
        <v>-544200</v>
      </c>
      <c r="E17" s="8">
        <v>-1502200</v>
      </c>
      <c r="F17" s="3">
        <v>1990</v>
      </c>
      <c r="G17" s="10">
        <v>13379693.206720233</v>
      </c>
      <c r="H17" s="10">
        <v>13548770.392013634</v>
      </c>
      <c r="I17" s="10">
        <v>695203.31141952937</v>
      </c>
      <c r="J17" s="10">
        <v>-169077.1852933997</v>
      </c>
      <c r="K17" s="3">
        <v>1990</v>
      </c>
      <c r="L17" s="11">
        <v>19.203275560246066</v>
      </c>
      <c r="M17" s="11">
        <v>21.576960898445314</v>
      </c>
      <c r="N17" s="11">
        <v>-0.8599118366715689</v>
      </c>
      <c r="O17" s="11">
        <v>-2.3736853381992482</v>
      </c>
      <c r="P17" s="3">
        <v>1990</v>
      </c>
      <c r="Q17" s="11">
        <v>10.853661197592196</v>
      </c>
      <c r="R17" s="11">
        <v>10.990817293555244</v>
      </c>
      <c r="S17" s="11">
        <v>0.56395173559001044</v>
      </c>
      <c r="T17" s="11">
        <v>-0.1371560959630492</v>
      </c>
    </row>
    <row r="18" spans="1:20" x14ac:dyDescent="0.25">
      <c r="A18" s="5">
        <v>1991</v>
      </c>
      <c r="B18" s="8">
        <v>30281000</v>
      </c>
      <c r="C18" s="8">
        <v>30103900</v>
      </c>
      <c r="D18" s="8">
        <v>2321900</v>
      </c>
      <c r="E18" s="8">
        <v>177100</v>
      </c>
      <c r="F18" s="5">
        <v>1991</v>
      </c>
      <c r="G18" s="10">
        <v>20835942.978040535</v>
      </c>
      <c r="H18" s="10">
        <v>19214607.399822526</v>
      </c>
      <c r="I18" s="10">
        <v>3110730.2182185748</v>
      </c>
      <c r="J18" s="10">
        <v>1621335.5782180082</v>
      </c>
      <c r="K18" s="5">
        <v>1991</v>
      </c>
      <c r="L18" s="11">
        <v>18.230200092874021</v>
      </c>
      <c r="M18" s="11">
        <v>18.123579821533973</v>
      </c>
      <c r="N18" s="11">
        <v>1.397863399347584</v>
      </c>
      <c r="O18" s="11">
        <v>0.10662027134004785</v>
      </c>
      <c r="P18" s="5">
        <v>1991</v>
      </c>
      <c r="Q18" s="11">
        <v>12.397451155262955</v>
      </c>
      <c r="R18" s="11">
        <v>11.432751421805628</v>
      </c>
      <c r="S18" s="11">
        <v>1.8508941965434393</v>
      </c>
      <c r="T18" s="11">
        <v>0.9646997334573274</v>
      </c>
    </row>
    <row r="19" spans="1:20" x14ac:dyDescent="0.25">
      <c r="A19" s="5">
        <v>1992</v>
      </c>
      <c r="B19" s="8">
        <v>38600200</v>
      </c>
      <c r="C19" s="8">
        <v>36557400</v>
      </c>
      <c r="D19" s="8">
        <v>6155000</v>
      </c>
      <c r="E19" s="8">
        <v>2042800</v>
      </c>
      <c r="F19" s="5">
        <v>1992</v>
      </c>
      <c r="G19" s="10">
        <v>28647062.382767595</v>
      </c>
      <c r="H19" s="10">
        <v>25414574.131219622</v>
      </c>
      <c r="I19" s="10">
        <v>6580141.5864948267</v>
      </c>
      <c r="J19" s="10">
        <v>3232488.2515479722</v>
      </c>
      <c r="K19" s="5">
        <v>1992</v>
      </c>
      <c r="L19" s="11">
        <v>18.531539612693859</v>
      </c>
      <c r="M19" s="11">
        <v>17.550813369803638</v>
      </c>
      <c r="N19" s="11">
        <v>2.9549491017178848</v>
      </c>
      <c r="O19" s="11">
        <v>0.98072624289021848</v>
      </c>
      <c r="P19" s="5">
        <v>1992</v>
      </c>
      <c r="Q19" s="11">
        <v>13.637894253858644</v>
      </c>
      <c r="R19" s="11">
        <v>12.099016292746295</v>
      </c>
      <c r="S19" s="11">
        <v>3.1325821102695692</v>
      </c>
      <c r="T19" s="11">
        <v>1.5388779611123489</v>
      </c>
    </row>
    <row r="20" spans="1:20" x14ac:dyDescent="0.25">
      <c r="A20" s="5">
        <v>1993</v>
      </c>
      <c r="B20" s="8">
        <v>44123800</v>
      </c>
      <c r="C20" s="8">
        <v>38299899.999999993</v>
      </c>
      <c r="D20" s="8">
        <v>8734900.0000000075</v>
      </c>
      <c r="E20" s="8">
        <v>5823900.0000000075</v>
      </c>
      <c r="F20" s="5">
        <v>1993</v>
      </c>
      <c r="G20" s="10">
        <v>38559591.714199938</v>
      </c>
      <c r="H20" s="10">
        <v>31502151.50605423</v>
      </c>
      <c r="I20" s="10">
        <v>9629640.7485239748</v>
      </c>
      <c r="J20" s="10">
        <v>7057440.2081457097</v>
      </c>
      <c r="K20" s="5">
        <v>1993</v>
      </c>
      <c r="L20" s="11">
        <v>18.656605013897146</v>
      </c>
      <c r="M20" s="11">
        <v>16.194119871175172</v>
      </c>
      <c r="N20" s="11">
        <v>3.6933260312096938</v>
      </c>
      <c r="O20" s="11">
        <v>2.4624851427219712</v>
      </c>
      <c r="P20" s="5">
        <v>1993</v>
      </c>
      <c r="Q20" s="11">
        <v>16.292511033920313</v>
      </c>
      <c r="R20" s="11">
        <v>13.310544230052336</v>
      </c>
      <c r="S20" s="11">
        <v>4.0687938116896314</v>
      </c>
      <c r="T20" s="11">
        <v>2.9819668038679747</v>
      </c>
    </row>
    <row r="21" spans="1:20" x14ac:dyDescent="0.25">
      <c r="A21" s="5">
        <v>1994</v>
      </c>
      <c r="B21" s="8">
        <v>41240500</v>
      </c>
      <c r="C21" s="8">
        <v>39310800</v>
      </c>
      <c r="D21" s="8">
        <v>5213500</v>
      </c>
      <c r="E21" s="8">
        <v>1929700</v>
      </c>
      <c r="F21" s="5">
        <v>1994</v>
      </c>
      <c r="G21" s="10">
        <v>38977786.672003202</v>
      </c>
      <c r="H21" s="10">
        <v>36512707.624574743</v>
      </c>
      <c r="I21" s="10">
        <v>5660496.2977786679</v>
      </c>
      <c r="J21" s="10">
        <v>2465079.0474284571</v>
      </c>
      <c r="K21" s="5">
        <v>1994</v>
      </c>
      <c r="L21" s="11">
        <v>16.019463400787863</v>
      </c>
      <c r="M21" s="11">
        <v>15.269890565237848</v>
      </c>
      <c r="N21" s="11">
        <v>2.0251323926724338</v>
      </c>
      <c r="O21" s="11">
        <v>0.74957283555001364</v>
      </c>
      <c r="P21" s="5">
        <v>1994</v>
      </c>
      <c r="Q21" s="11">
        <v>15.131450518292715</v>
      </c>
      <c r="R21" s="11">
        <v>14.174489520385778</v>
      </c>
      <c r="S21" s="11">
        <v>2.1974444151888801</v>
      </c>
      <c r="T21" s="11">
        <v>0.95696099790693556</v>
      </c>
    </row>
    <row r="22" spans="1:20" x14ac:dyDescent="0.25">
      <c r="A22" s="5">
        <v>1995</v>
      </c>
      <c r="B22" s="8">
        <v>39930500.000000007</v>
      </c>
      <c r="C22" s="8">
        <v>39584400.000000007</v>
      </c>
      <c r="D22" s="8">
        <v>4673100</v>
      </c>
      <c r="E22" s="8">
        <v>346100</v>
      </c>
      <c r="F22" s="5">
        <v>1995</v>
      </c>
      <c r="G22" s="10">
        <v>37740474.047404751</v>
      </c>
      <c r="H22" s="10">
        <v>37143614.361436151</v>
      </c>
      <c r="I22" s="10">
        <v>4816681.6681668162</v>
      </c>
      <c r="J22" s="10">
        <v>596859.68596859684</v>
      </c>
      <c r="K22" s="5">
        <v>1995</v>
      </c>
      <c r="L22" s="11">
        <v>15.475025522868634</v>
      </c>
      <c r="M22" s="11">
        <v>15.340894812422613</v>
      </c>
      <c r="N22" s="11">
        <v>1.8110552527746309</v>
      </c>
      <c r="O22" s="11">
        <v>0.13413071044602079</v>
      </c>
      <c r="P22" s="5">
        <v>1995</v>
      </c>
      <c r="Q22" s="11">
        <v>14.624820516868979</v>
      </c>
      <c r="R22" s="11">
        <v>14.393531271003088</v>
      </c>
      <c r="S22" s="11">
        <v>1.8665135153138552</v>
      </c>
      <c r="T22" s="11">
        <v>0.23128924586589195</v>
      </c>
    </row>
    <row r="23" spans="1:20" x14ac:dyDescent="0.25">
      <c r="A23" s="5">
        <v>1996</v>
      </c>
      <c r="B23" s="8">
        <v>37767600</v>
      </c>
      <c r="C23" s="8">
        <v>40346899.999999993</v>
      </c>
      <c r="D23" s="8">
        <v>1634700.0000000075</v>
      </c>
      <c r="E23" s="8">
        <v>-2579299.9999999925</v>
      </c>
      <c r="F23" s="5">
        <v>1996</v>
      </c>
      <c r="G23" s="10">
        <v>35789578.957895786</v>
      </c>
      <c r="H23" s="10">
        <v>38404340.4340434</v>
      </c>
      <c r="I23" s="10">
        <v>1529052.9052905366</v>
      </c>
      <c r="J23" s="10">
        <v>-2614761.4761476074</v>
      </c>
      <c r="K23" s="5">
        <v>1996</v>
      </c>
      <c r="L23" s="11">
        <v>13.877506401698165</v>
      </c>
      <c r="M23" s="11">
        <v>14.825256649579947</v>
      </c>
      <c r="N23" s="11">
        <v>0.6006619354911642</v>
      </c>
      <c r="O23" s="11">
        <v>-0.94775024788178164</v>
      </c>
      <c r="P23" s="5">
        <v>1996</v>
      </c>
      <c r="Q23" s="11">
        <v>13.149377881866217</v>
      </c>
      <c r="R23" s="11">
        <v>14.110062185005409</v>
      </c>
      <c r="S23" s="11">
        <v>0.56178628076860671</v>
      </c>
      <c r="T23" s="11">
        <v>-0.96068430313919206</v>
      </c>
    </row>
    <row r="24" spans="1:20" x14ac:dyDescent="0.25">
      <c r="A24" s="5">
        <v>1997</v>
      </c>
      <c r="B24" s="8">
        <v>42500499.999999993</v>
      </c>
      <c r="C24" s="8">
        <v>39737300</v>
      </c>
      <c r="D24" s="8">
        <v>8465799.9999999925</v>
      </c>
      <c r="E24" s="8">
        <v>2763199.9999999925</v>
      </c>
      <c r="F24" s="5">
        <v>1997</v>
      </c>
      <c r="G24" s="10">
        <v>40899299.999999993</v>
      </c>
      <c r="H24" s="10">
        <v>37884400</v>
      </c>
      <c r="I24" s="10">
        <v>8656599.9999999925</v>
      </c>
      <c r="J24" s="10">
        <v>3014899.9999999925</v>
      </c>
      <c r="K24" s="5">
        <v>1997</v>
      </c>
      <c r="L24" s="11">
        <v>14.512279927398067</v>
      </c>
      <c r="M24" s="11">
        <v>13.568753806637458</v>
      </c>
      <c r="N24" s="11">
        <v>2.8907438597043913</v>
      </c>
      <c r="O24" s="11">
        <v>0.94352612076060849</v>
      </c>
      <c r="P24" s="5">
        <v>1997</v>
      </c>
      <c r="Q24" s="11">
        <v>13.965531945144921</v>
      </c>
      <c r="R24" s="11">
        <v>12.936059991800555</v>
      </c>
      <c r="S24" s="11">
        <v>2.9558946934627599</v>
      </c>
      <c r="T24" s="11">
        <v>1.0294719533443686</v>
      </c>
    </row>
    <row r="25" spans="1:20" x14ac:dyDescent="0.25">
      <c r="A25" s="5">
        <v>1998</v>
      </c>
      <c r="B25" s="8">
        <v>42247500</v>
      </c>
      <c r="C25" s="8">
        <v>42804000</v>
      </c>
      <c r="D25" s="8">
        <v>6134600</v>
      </c>
      <c r="E25" s="8">
        <v>-556500</v>
      </c>
      <c r="F25" s="5">
        <v>1998</v>
      </c>
      <c r="G25" s="10">
        <v>41127312.624009654</v>
      </c>
      <c r="H25" s="10">
        <v>41602456.671273798</v>
      </c>
      <c r="I25" s="10">
        <v>6155870.6674910123</v>
      </c>
      <c r="J25" s="10">
        <v>-475144.04726414307</v>
      </c>
      <c r="K25" s="5">
        <v>1998</v>
      </c>
      <c r="L25" s="11">
        <v>14.132039484745766</v>
      </c>
      <c r="M25" s="11">
        <v>14.318192037518379</v>
      </c>
      <c r="N25" s="11">
        <v>2.0520601082459642</v>
      </c>
      <c r="O25" s="11">
        <v>-0.18615255277261419</v>
      </c>
      <c r="P25" s="5">
        <v>1998</v>
      </c>
      <c r="Q25" s="11">
        <v>13.756054813916622</v>
      </c>
      <c r="R25" s="11">
        <v>13.914978583588265</v>
      </c>
      <c r="S25" s="11">
        <v>2.0589843810984227</v>
      </c>
      <c r="T25" s="11">
        <v>-0.15892376967164243</v>
      </c>
    </row>
    <row r="26" spans="1:20" x14ac:dyDescent="0.25">
      <c r="A26" s="5">
        <v>1999</v>
      </c>
      <c r="B26" s="8">
        <v>41163600</v>
      </c>
      <c r="C26" s="8">
        <v>45108600</v>
      </c>
      <c r="D26" s="8">
        <v>4248100</v>
      </c>
      <c r="E26" s="8">
        <v>-3945000</v>
      </c>
      <c r="F26" s="5">
        <v>1999</v>
      </c>
      <c r="G26" s="10">
        <v>40284689.046177574</v>
      </c>
      <c r="H26" s="10">
        <v>44025616.579914428</v>
      </c>
      <c r="I26" s="10">
        <v>4434458.4821772091</v>
      </c>
      <c r="J26" s="10">
        <v>-3740927.5337368581</v>
      </c>
      <c r="K26" s="5">
        <v>1999</v>
      </c>
      <c r="L26" s="11">
        <v>14.518609279115534</v>
      </c>
      <c r="M26" s="11">
        <v>15.910030670978996</v>
      </c>
      <c r="N26" s="11">
        <v>1.4983262901838201</v>
      </c>
      <c r="O26" s="11">
        <v>-1.3914213918634615</v>
      </c>
      <c r="P26" s="5">
        <v>1999</v>
      </c>
      <c r="Q26" s="11">
        <v>14.210027637609491</v>
      </c>
      <c r="R26" s="11">
        <v>15.52960301235696</v>
      </c>
      <c r="S26" s="11">
        <v>1.5642115920849848</v>
      </c>
      <c r="T26" s="11">
        <v>-1.3195753747474699</v>
      </c>
    </row>
    <row r="27" spans="1:20" x14ac:dyDescent="0.25">
      <c r="A27" s="3">
        <v>2000</v>
      </c>
      <c r="B27" s="8">
        <v>43850500</v>
      </c>
      <c r="C27" s="8">
        <v>45213500.000000007</v>
      </c>
      <c r="D27" s="8">
        <v>8302899.9999999925</v>
      </c>
      <c r="E27" s="8">
        <v>-1363000.0000000075</v>
      </c>
      <c r="F27" s="3">
        <v>2000</v>
      </c>
      <c r="G27" s="10">
        <v>43093401.307986304</v>
      </c>
      <c r="H27" s="10">
        <v>44429516.748664126</v>
      </c>
      <c r="I27" s="10">
        <v>8319367.9824899826</v>
      </c>
      <c r="J27" s="10">
        <v>-1336115.4406778256</v>
      </c>
      <c r="K27" s="3">
        <v>2000</v>
      </c>
      <c r="L27" s="11">
        <v>15.429248108515473</v>
      </c>
      <c r="M27" s="11">
        <v>15.908833635975975</v>
      </c>
      <c r="N27" s="11">
        <v>2.9214605106029126</v>
      </c>
      <c r="O27" s="11">
        <v>-0.47958552746050115</v>
      </c>
      <c r="P27" s="3">
        <v>2000</v>
      </c>
      <c r="Q27" s="11">
        <v>15.149061787520026</v>
      </c>
      <c r="R27" s="11">
        <v>15.618760041817183</v>
      </c>
      <c r="S27" s="11">
        <v>2.92459206687173</v>
      </c>
      <c r="T27" s="11">
        <v>-0.46969825429715556</v>
      </c>
    </row>
  </sheetData>
  <mergeCells count="24">
    <mergeCell ref="A2:A6"/>
    <mergeCell ref="B2:B5"/>
    <mergeCell ref="C2:C5"/>
    <mergeCell ref="D2:D5"/>
    <mergeCell ref="E2:E5"/>
    <mergeCell ref="B6:E6"/>
    <mergeCell ref="F2:F6"/>
    <mergeCell ref="G2:G5"/>
    <mergeCell ref="H2:H5"/>
    <mergeCell ref="I2:I5"/>
    <mergeCell ref="J2:J5"/>
    <mergeCell ref="G6:J6"/>
    <mergeCell ref="K2:K6"/>
    <mergeCell ref="L2:L5"/>
    <mergeCell ref="M2:M5"/>
    <mergeCell ref="N2:N5"/>
    <mergeCell ref="O2:O5"/>
    <mergeCell ref="L6:O6"/>
    <mergeCell ref="P2:P6"/>
    <mergeCell ref="Q2:Q5"/>
    <mergeCell ref="R2:R5"/>
    <mergeCell ref="S2:S5"/>
    <mergeCell ref="T2:T5"/>
    <mergeCell ref="Q6:T6"/>
  </mergeCells>
  <hyperlinks>
    <hyperlink ref="J1" location="'C6 Sector público'!A1" display="volver" xr:uid="{242E9C8B-072F-4822-96E7-8EB6C2FF1324}"/>
    <hyperlink ref="T1" location="'C6 Sector público'!A1" display="volver" xr:uid="{0CC9D421-EC8B-4534-9EA7-773501E23AB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2877-8EB4-46B2-B2A5-A5D2EDE3643C}">
  <dimension ref="A1:X30"/>
  <sheetViews>
    <sheetView topLeftCell="L24" workbookViewId="0">
      <selection activeCell="V50" sqref="V50"/>
    </sheetView>
  </sheetViews>
  <sheetFormatPr baseColWidth="10" defaultRowHeight="15" x14ac:dyDescent="0.25"/>
  <sheetData>
    <row r="1" spans="1:24" x14ac:dyDescent="0.25">
      <c r="A1" s="111" t="s">
        <v>2</v>
      </c>
      <c r="B1" s="112" t="s">
        <v>121</v>
      </c>
      <c r="C1" s="112"/>
      <c r="D1" s="112"/>
      <c r="E1" s="112"/>
      <c r="F1" s="112"/>
      <c r="G1" s="112"/>
      <c r="H1" s="112"/>
      <c r="I1" s="111" t="s">
        <v>2</v>
      </c>
      <c r="J1" s="112" t="s">
        <v>121</v>
      </c>
      <c r="K1" s="112"/>
      <c r="L1" s="112"/>
      <c r="M1" s="112"/>
      <c r="N1" s="112"/>
      <c r="O1" s="111" t="s">
        <v>2</v>
      </c>
      <c r="P1" s="112" t="s">
        <v>133</v>
      </c>
      <c r="Q1" s="112"/>
      <c r="R1" s="112"/>
      <c r="S1" s="112"/>
      <c r="T1" s="135"/>
      <c r="U1" s="115"/>
      <c r="V1" s="136" t="s">
        <v>134</v>
      </c>
      <c r="W1" s="137"/>
      <c r="X1" s="136" t="s">
        <v>135</v>
      </c>
    </row>
    <row r="2" spans="1:24" x14ac:dyDescent="0.25">
      <c r="A2" s="113"/>
      <c r="B2" s="114" t="s">
        <v>122</v>
      </c>
      <c r="C2" s="114"/>
      <c r="D2" s="114"/>
      <c r="E2" s="115"/>
      <c r="F2" s="116" t="s">
        <v>123</v>
      </c>
      <c r="G2" s="116"/>
      <c r="H2" s="116"/>
      <c r="I2" s="113"/>
      <c r="J2" s="129" t="s">
        <v>129</v>
      </c>
      <c r="K2" s="117" t="s">
        <v>130</v>
      </c>
      <c r="L2" s="117" t="s">
        <v>131</v>
      </c>
      <c r="M2" s="130"/>
      <c r="N2" s="117" t="s">
        <v>132</v>
      </c>
      <c r="O2" s="113"/>
      <c r="P2" s="117" t="s">
        <v>136</v>
      </c>
      <c r="Q2" s="138" t="s">
        <v>137</v>
      </c>
      <c r="R2" s="129" t="s">
        <v>138</v>
      </c>
      <c r="S2" s="117" t="s">
        <v>131</v>
      </c>
      <c r="T2" s="117" t="s">
        <v>132</v>
      </c>
      <c r="U2" s="133"/>
      <c r="V2" s="132"/>
      <c r="W2" s="137"/>
      <c r="X2" s="132"/>
    </row>
    <row r="3" spans="1:24" x14ac:dyDescent="0.25">
      <c r="A3" s="113"/>
      <c r="B3" s="117" t="s">
        <v>124</v>
      </c>
      <c r="C3" s="117" t="s">
        <v>125</v>
      </c>
      <c r="D3" s="117" t="s">
        <v>126</v>
      </c>
      <c r="E3" s="118"/>
      <c r="F3" s="117" t="s">
        <v>124</v>
      </c>
      <c r="G3" s="117" t="s">
        <v>125</v>
      </c>
      <c r="H3" s="117" t="s">
        <v>126</v>
      </c>
      <c r="I3" s="113"/>
      <c r="J3" s="131"/>
      <c r="K3" s="132"/>
      <c r="L3" s="132"/>
      <c r="M3" s="133"/>
      <c r="N3" s="132"/>
      <c r="O3" s="113"/>
      <c r="P3" s="132"/>
      <c r="Q3" s="139"/>
      <c r="R3" s="131"/>
      <c r="S3" s="132"/>
      <c r="T3" s="132"/>
      <c r="U3" s="133"/>
      <c r="V3" s="132"/>
      <c r="W3" s="137"/>
      <c r="X3" s="132"/>
    </row>
    <row r="4" spans="1:24" x14ac:dyDescent="0.25">
      <c r="A4" s="113"/>
      <c r="B4" s="119"/>
      <c r="C4" s="119"/>
      <c r="D4" s="119"/>
      <c r="E4" s="118"/>
      <c r="F4" s="119"/>
      <c r="G4" s="119"/>
      <c r="H4" s="119"/>
      <c r="I4" s="113"/>
      <c r="J4" s="134"/>
      <c r="K4" s="119"/>
      <c r="L4" s="119"/>
      <c r="M4" s="133"/>
      <c r="N4" s="119"/>
      <c r="O4" s="113"/>
      <c r="P4" s="119"/>
      <c r="Q4" s="140"/>
      <c r="R4" s="134"/>
      <c r="S4" s="119"/>
      <c r="T4" s="119"/>
      <c r="U4" s="133"/>
      <c r="V4" s="119"/>
      <c r="W4" s="141"/>
      <c r="X4" s="119"/>
    </row>
    <row r="5" spans="1:24" ht="15.75" thickBot="1" x14ac:dyDescent="0.3">
      <c r="A5" s="120"/>
      <c r="B5" s="121" t="s">
        <v>127</v>
      </c>
      <c r="C5" s="121"/>
      <c r="D5" s="121"/>
      <c r="E5" s="122"/>
      <c r="F5" s="121" t="s">
        <v>127</v>
      </c>
      <c r="G5" s="121"/>
      <c r="H5" s="121"/>
      <c r="I5" s="120"/>
      <c r="J5" s="121" t="s">
        <v>127</v>
      </c>
      <c r="K5" s="121"/>
      <c r="L5" s="121"/>
      <c r="M5" s="122"/>
      <c r="N5" s="122" t="s">
        <v>127</v>
      </c>
      <c r="O5" s="120"/>
      <c r="P5" s="121" t="s">
        <v>127</v>
      </c>
      <c r="Q5" s="121"/>
      <c r="R5" s="121"/>
      <c r="S5" s="121"/>
      <c r="T5" s="122" t="s">
        <v>127</v>
      </c>
      <c r="U5" s="122"/>
      <c r="V5" s="122" t="s">
        <v>127</v>
      </c>
      <c r="W5" s="142"/>
      <c r="X5" s="122" t="s">
        <v>127</v>
      </c>
    </row>
    <row r="6" spans="1:24" x14ac:dyDescent="0.25">
      <c r="A6" s="123">
        <v>1980</v>
      </c>
      <c r="B6" s="124">
        <v>8021.4</v>
      </c>
      <c r="C6" s="124">
        <v>9704.8372822532201</v>
      </c>
      <c r="D6" s="124">
        <v>-1683.4372822532205</v>
      </c>
      <c r="E6" s="125"/>
      <c r="F6" s="126" t="s">
        <v>128</v>
      </c>
      <c r="G6" s="126" t="s">
        <v>128</v>
      </c>
      <c r="H6" s="124">
        <v>-1575.8627177467802</v>
      </c>
      <c r="I6" s="123">
        <v>1980</v>
      </c>
      <c r="J6" s="124">
        <v>-1531.4</v>
      </c>
      <c r="K6" s="125">
        <v>22.9</v>
      </c>
      <c r="L6" s="126" t="s">
        <v>128</v>
      </c>
      <c r="M6" s="125"/>
      <c r="N6" s="124">
        <v>-4767.8</v>
      </c>
      <c r="O6" s="123">
        <v>1980</v>
      </c>
      <c r="P6" s="124">
        <v>1968.1</v>
      </c>
      <c r="Q6" s="125">
        <v>-350.2</v>
      </c>
      <c r="R6" s="143">
        <v>933.8</v>
      </c>
      <c r="S6" s="143">
        <v>0</v>
      </c>
      <c r="T6" s="124">
        <v>2551.6999999999998</v>
      </c>
      <c r="U6" s="125"/>
      <c r="V6" s="125">
        <v>-298.39999999999998</v>
      </c>
      <c r="W6" s="125"/>
      <c r="X6" s="124">
        <v>-2514.5</v>
      </c>
    </row>
    <row r="7" spans="1:24" x14ac:dyDescent="0.25">
      <c r="A7" s="127">
        <v>1981</v>
      </c>
      <c r="B7" s="124">
        <v>9143</v>
      </c>
      <c r="C7" s="124">
        <v>8682.2966028165247</v>
      </c>
      <c r="D7" s="125">
        <v>460.70339718347532</v>
      </c>
      <c r="E7" s="125"/>
      <c r="F7" s="126" t="s">
        <v>128</v>
      </c>
      <c r="G7" s="126" t="s">
        <v>128</v>
      </c>
      <c r="H7" s="124">
        <v>-1452.6033971834754</v>
      </c>
      <c r="I7" s="127">
        <v>1981</v>
      </c>
      <c r="J7" s="124">
        <v>-3699.7</v>
      </c>
      <c r="K7" s="125">
        <v>-22.4</v>
      </c>
      <c r="L7" s="126" t="s">
        <v>128</v>
      </c>
      <c r="M7" s="125"/>
      <c r="N7" s="124">
        <v>-4714</v>
      </c>
      <c r="O7" s="127">
        <v>1981</v>
      </c>
      <c r="P7" s="124">
        <v>-1051.3</v>
      </c>
      <c r="Q7" s="125">
        <v>3.6</v>
      </c>
      <c r="R7" s="144">
        <v>2537.4</v>
      </c>
      <c r="S7" s="143">
        <v>0</v>
      </c>
      <c r="T7" s="124">
        <v>1489.7</v>
      </c>
      <c r="U7" s="125"/>
      <c r="V7" s="125">
        <v>-208.8</v>
      </c>
      <c r="W7" s="125"/>
      <c r="X7" s="124">
        <v>-3433.1</v>
      </c>
    </row>
    <row r="8" spans="1:24" x14ac:dyDescent="0.25">
      <c r="A8" s="127">
        <v>1982</v>
      </c>
      <c r="B8" s="124">
        <v>7623.7</v>
      </c>
      <c r="C8" s="124">
        <v>4913.7379363278378</v>
      </c>
      <c r="D8" s="124">
        <v>2709.962063672162</v>
      </c>
      <c r="E8" s="125"/>
      <c r="F8" s="126" t="s">
        <v>128</v>
      </c>
      <c r="G8" s="126" t="s">
        <v>128</v>
      </c>
      <c r="H8" s="125">
        <v>-380.66206367216182</v>
      </c>
      <c r="I8" s="127">
        <v>1982</v>
      </c>
      <c r="J8" s="124">
        <v>-4718.5</v>
      </c>
      <c r="K8" s="125">
        <v>31.5</v>
      </c>
      <c r="L8" s="126" t="s">
        <v>128</v>
      </c>
      <c r="M8" s="125"/>
      <c r="N8" s="124">
        <v>-2357.6999999999998</v>
      </c>
      <c r="O8" s="127">
        <v>1982</v>
      </c>
      <c r="P8" s="124">
        <v>-3060.3</v>
      </c>
      <c r="Q8" s="124">
        <v>1117.8</v>
      </c>
      <c r="R8" s="143">
        <v>-381</v>
      </c>
      <c r="S8" s="143">
        <v>0</v>
      </c>
      <c r="T8" s="124">
        <v>-2323.5</v>
      </c>
      <c r="U8" s="125"/>
      <c r="V8" s="125">
        <v>-399.3</v>
      </c>
      <c r="W8" s="125"/>
      <c r="X8" s="124">
        <v>-5080.5</v>
      </c>
    </row>
    <row r="9" spans="1:24" x14ac:dyDescent="0.25">
      <c r="A9" s="127">
        <v>1983</v>
      </c>
      <c r="B9" s="124">
        <v>7836.1</v>
      </c>
      <c r="C9" s="124">
        <v>4147.7991723953819</v>
      </c>
      <c r="D9" s="124">
        <v>3688.3008276046185</v>
      </c>
      <c r="E9" s="125"/>
      <c r="F9" s="126" t="s">
        <v>128</v>
      </c>
      <c r="G9" s="126" t="s">
        <v>128</v>
      </c>
      <c r="H9" s="125">
        <v>-756.7008276046181</v>
      </c>
      <c r="I9" s="127">
        <v>1983</v>
      </c>
      <c r="J9" s="124">
        <v>-5408</v>
      </c>
      <c r="K9" s="125">
        <v>15.4</v>
      </c>
      <c r="L9" s="126" t="s">
        <v>128</v>
      </c>
      <c r="M9" s="125"/>
      <c r="N9" s="124">
        <v>-2461</v>
      </c>
      <c r="O9" s="127">
        <v>1983</v>
      </c>
      <c r="P9" s="124">
        <v>-1360.3</v>
      </c>
      <c r="Q9" s="125">
        <v>-88.4</v>
      </c>
      <c r="R9" s="143">
        <v>29.7</v>
      </c>
      <c r="S9" s="143">
        <v>0</v>
      </c>
      <c r="T9" s="124">
        <v>-1419</v>
      </c>
      <c r="U9" s="125"/>
      <c r="V9" s="125">
        <v>-324.3</v>
      </c>
      <c r="W9" s="125"/>
      <c r="X9" s="124">
        <v>-4204.3</v>
      </c>
    </row>
    <row r="10" spans="1:24" x14ac:dyDescent="0.25">
      <c r="A10" s="127">
        <v>1984</v>
      </c>
      <c r="B10" s="124">
        <v>8107.4</v>
      </c>
      <c r="C10" s="124">
        <v>4220.5352733097507</v>
      </c>
      <c r="D10" s="124">
        <v>3886.864726690249</v>
      </c>
      <c r="E10" s="125"/>
      <c r="F10" s="126" t="s">
        <v>128</v>
      </c>
      <c r="G10" s="126" t="s">
        <v>128</v>
      </c>
      <c r="H10" s="125">
        <v>-568.16472669024938</v>
      </c>
      <c r="I10" s="127">
        <v>1984</v>
      </c>
      <c r="J10" s="124">
        <v>-5712</v>
      </c>
      <c r="K10" s="125">
        <v>2.8</v>
      </c>
      <c r="L10" s="126" t="s">
        <v>128</v>
      </c>
      <c r="M10" s="125"/>
      <c r="N10" s="124">
        <v>-2390.5</v>
      </c>
      <c r="O10" s="127">
        <v>1984</v>
      </c>
      <c r="P10" s="125">
        <v>-929.1</v>
      </c>
      <c r="Q10" s="125">
        <v>-643</v>
      </c>
      <c r="R10" s="144">
        <v>2152.3000000000002</v>
      </c>
      <c r="S10" s="143">
        <v>0</v>
      </c>
      <c r="T10" s="125">
        <v>580.20000000000005</v>
      </c>
      <c r="U10" s="125"/>
      <c r="V10" s="125">
        <v>-84.4</v>
      </c>
      <c r="W10" s="125"/>
      <c r="X10" s="124">
        <v>-1894.7</v>
      </c>
    </row>
    <row r="11" spans="1:24" x14ac:dyDescent="0.25">
      <c r="A11" s="127">
        <v>1985</v>
      </c>
      <c r="B11" s="124">
        <v>8396</v>
      </c>
      <c r="C11" s="124">
        <v>3511.7726089568173</v>
      </c>
      <c r="D11" s="124">
        <v>4884.2273910431832</v>
      </c>
      <c r="E11" s="125"/>
      <c r="F11" s="126" t="s">
        <v>128</v>
      </c>
      <c r="G11" s="126" t="s">
        <v>128</v>
      </c>
      <c r="H11" s="125">
        <v>-533.42739104318252</v>
      </c>
      <c r="I11" s="127">
        <v>1985</v>
      </c>
      <c r="J11" s="124">
        <v>-5304</v>
      </c>
      <c r="K11" s="125">
        <v>0</v>
      </c>
      <c r="L11" s="126" t="s">
        <v>128</v>
      </c>
      <c r="M11" s="125"/>
      <c r="N11" s="125">
        <v>-953</v>
      </c>
      <c r="O11" s="127">
        <v>1985</v>
      </c>
      <c r="P11" s="126" t="s">
        <v>128</v>
      </c>
      <c r="Q11" s="126" t="s">
        <v>128</v>
      </c>
      <c r="R11" s="126" t="s">
        <v>128</v>
      </c>
      <c r="S11" s="126" t="s">
        <v>128</v>
      </c>
      <c r="T11" s="125">
        <v>397</v>
      </c>
      <c r="U11" s="125"/>
      <c r="V11" s="125">
        <v>0</v>
      </c>
      <c r="W11" s="125"/>
      <c r="X11" s="125">
        <v>-556</v>
      </c>
    </row>
    <row r="12" spans="1:24" x14ac:dyDescent="0.25">
      <c r="A12" s="127">
        <v>1986</v>
      </c>
      <c r="B12" s="124">
        <v>6852</v>
      </c>
      <c r="C12" s="124">
        <v>4349.4346926516719</v>
      </c>
      <c r="D12" s="124">
        <v>2502.5653073483281</v>
      </c>
      <c r="E12" s="125"/>
      <c r="F12" s="126" t="s">
        <v>128</v>
      </c>
      <c r="G12" s="126" t="s">
        <v>128</v>
      </c>
      <c r="H12" s="125">
        <v>-947.56530734832813</v>
      </c>
      <c r="I12" s="127">
        <v>1986</v>
      </c>
      <c r="J12" s="124">
        <v>-4416</v>
      </c>
      <c r="K12" s="125">
        <v>2</v>
      </c>
      <c r="L12" s="126" t="s">
        <v>128</v>
      </c>
      <c r="M12" s="125"/>
      <c r="N12" s="124">
        <v>-2859</v>
      </c>
      <c r="O12" s="127">
        <v>1986</v>
      </c>
      <c r="P12" s="126" t="s">
        <v>128</v>
      </c>
      <c r="Q12" s="126" t="s">
        <v>128</v>
      </c>
      <c r="R12" s="126" t="s">
        <v>128</v>
      </c>
      <c r="S12" s="126" t="s">
        <v>128</v>
      </c>
      <c r="T12" s="125">
        <v>784</v>
      </c>
      <c r="U12" s="125"/>
      <c r="V12" s="125">
        <v>0</v>
      </c>
      <c r="W12" s="125"/>
      <c r="X12" s="124">
        <v>-2075</v>
      </c>
    </row>
    <row r="13" spans="1:24" x14ac:dyDescent="0.25">
      <c r="A13" s="127">
        <v>1987</v>
      </c>
      <c r="B13" s="124">
        <v>6360</v>
      </c>
      <c r="C13" s="124">
        <v>5358.5330040712806</v>
      </c>
      <c r="D13" s="124">
        <v>1001.4669959287194</v>
      </c>
      <c r="E13" s="125"/>
      <c r="F13" s="126" t="s">
        <v>128</v>
      </c>
      <c r="G13" s="126" t="s">
        <v>128</v>
      </c>
      <c r="H13" s="125">
        <v>-746.46699592871937</v>
      </c>
      <c r="I13" s="127">
        <v>1987</v>
      </c>
      <c r="J13" s="124">
        <v>-4485</v>
      </c>
      <c r="K13" s="125">
        <v>-8</v>
      </c>
      <c r="L13" s="126" t="s">
        <v>128</v>
      </c>
      <c r="M13" s="125"/>
      <c r="N13" s="124">
        <v>-4238</v>
      </c>
      <c r="O13" s="127">
        <v>1987</v>
      </c>
      <c r="P13" s="126" t="s">
        <v>128</v>
      </c>
      <c r="Q13" s="126" t="s">
        <v>128</v>
      </c>
      <c r="R13" s="126" t="s">
        <v>128</v>
      </c>
      <c r="S13" s="126" t="s">
        <v>128</v>
      </c>
      <c r="T13" s="125">
        <v>138</v>
      </c>
      <c r="U13" s="125"/>
      <c r="V13" s="125">
        <v>0</v>
      </c>
      <c r="W13" s="125"/>
      <c r="X13" s="124">
        <v>-4100</v>
      </c>
    </row>
    <row r="14" spans="1:24" x14ac:dyDescent="0.25">
      <c r="A14" s="127">
        <v>1988</v>
      </c>
      <c r="B14" s="124">
        <v>9134</v>
      </c>
      <c r="C14" s="124">
        <v>4901.8607755456178</v>
      </c>
      <c r="D14" s="124">
        <v>4232.1392244543822</v>
      </c>
      <c r="E14" s="125"/>
      <c r="F14" s="126" t="s">
        <v>128</v>
      </c>
      <c r="G14" s="126" t="s">
        <v>128</v>
      </c>
      <c r="H14" s="125">
        <v>-677.1392244543822</v>
      </c>
      <c r="I14" s="127">
        <v>1988</v>
      </c>
      <c r="J14" s="124">
        <v>-5127</v>
      </c>
      <c r="K14" s="125">
        <v>0</v>
      </c>
      <c r="L14" s="126" t="s">
        <v>128</v>
      </c>
      <c r="M14" s="125"/>
      <c r="N14" s="124">
        <v>-1572</v>
      </c>
      <c r="O14" s="127">
        <v>1988</v>
      </c>
      <c r="P14" s="126" t="s">
        <v>128</v>
      </c>
      <c r="Q14" s="126" t="s">
        <v>128</v>
      </c>
      <c r="R14" s="126" t="s">
        <v>128</v>
      </c>
      <c r="S14" s="126" t="s">
        <v>128</v>
      </c>
      <c r="T14" s="125">
        <v>279</v>
      </c>
      <c r="U14" s="125"/>
      <c r="V14" s="125">
        <v>-88</v>
      </c>
      <c r="W14" s="125"/>
      <c r="X14" s="124">
        <v>-1381</v>
      </c>
    </row>
    <row r="15" spans="1:24" x14ac:dyDescent="0.25">
      <c r="A15" s="127">
        <v>1989</v>
      </c>
      <c r="B15" s="124">
        <v>9573</v>
      </c>
      <c r="C15" s="124">
        <v>3866.0618701194685</v>
      </c>
      <c r="D15" s="124">
        <v>5706.9381298805311</v>
      </c>
      <c r="E15" s="125"/>
      <c r="F15" s="126" t="s">
        <v>128</v>
      </c>
      <c r="G15" s="126" t="s">
        <v>128</v>
      </c>
      <c r="H15" s="125">
        <v>-597.93812988053151</v>
      </c>
      <c r="I15" s="127">
        <v>1989</v>
      </c>
      <c r="J15" s="124">
        <v>-6422</v>
      </c>
      <c r="K15" s="125">
        <v>8</v>
      </c>
      <c r="L15" s="126" t="s">
        <v>128</v>
      </c>
      <c r="M15" s="125"/>
      <c r="N15" s="124">
        <v>-1305</v>
      </c>
      <c r="O15" s="127">
        <v>1989</v>
      </c>
      <c r="P15" s="126" t="s">
        <v>128</v>
      </c>
      <c r="Q15" s="126" t="s">
        <v>128</v>
      </c>
      <c r="R15" s="126" t="s">
        <v>128</v>
      </c>
      <c r="S15" s="126" t="s">
        <v>128</v>
      </c>
      <c r="T15" s="124">
        <v>-5439</v>
      </c>
      <c r="U15" s="125"/>
      <c r="V15" s="125">
        <v>-45</v>
      </c>
      <c r="W15" s="125"/>
      <c r="X15" s="124">
        <v>-6789</v>
      </c>
    </row>
    <row r="16" spans="1:24" x14ac:dyDescent="0.25">
      <c r="A16" s="123">
        <v>1990</v>
      </c>
      <c r="B16" s="128">
        <v>12354</v>
      </c>
      <c r="C16" s="124">
        <v>3755.5766535406792</v>
      </c>
      <c r="D16" s="124">
        <v>8598.4233464593199</v>
      </c>
      <c r="E16" s="125"/>
      <c r="F16" s="126" t="s">
        <v>128</v>
      </c>
      <c r="G16" s="126" t="s">
        <v>128</v>
      </c>
      <c r="H16" s="125">
        <v>-644.42334645932078</v>
      </c>
      <c r="I16" s="123">
        <v>1990</v>
      </c>
      <c r="J16" s="124">
        <v>-4400</v>
      </c>
      <c r="K16" s="125">
        <v>998</v>
      </c>
      <c r="L16" s="126" t="s">
        <v>128</v>
      </c>
      <c r="M16" s="125"/>
      <c r="N16" s="124">
        <v>4552</v>
      </c>
      <c r="O16" s="123">
        <v>1990</v>
      </c>
      <c r="P16" s="126" t="s">
        <v>128</v>
      </c>
      <c r="Q16" s="126" t="s">
        <v>128</v>
      </c>
      <c r="R16" s="126" t="s">
        <v>128</v>
      </c>
      <c r="S16" s="126" t="s">
        <v>128</v>
      </c>
      <c r="T16" s="124">
        <v>-4092</v>
      </c>
      <c r="U16" s="125"/>
      <c r="V16" s="125">
        <v>219</v>
      </c>
      <c r="W16" s="125"/>
      <c r="X16" s="125">
        <v>679</v>
      </c>
    </row>
    <row r="17" spans="1:24" x14ac:dyDescent="0.25">
      <c r="A17" s="127">
        <v>1991</v>
      </c>
      <c r="B17" s="128">
        <v>11978</v>
      </c>
      <c r="C17" s="124">
        <v>7618.8763932456777</v>
      </c>
      <c r="D17" s="124">
        <v>4359.1236067543223</v>
      </c>
      <c r="E17" s="125"/>
      <c r="F17" s="126" t="s">
        <v>128</v>
      </c>
      <c r="G17" s="126" t="s">
        <v>128</v>
      </c>
      <c r="H17" s="124">
        <v>-1564.1236067543223</v>
      </c>
      <c r="I17" s="127">
        <v>1991</v>
      </c>
      <c r="J17" s="124">
        <v>-4260</v>
      </c>
      <c r="K17" s="125">
        <v>793</v>
      </c>
      <c r="L17" s="126" t="s">
        <v>128</v>
      </c>
      <c r="M17" s="125"/>
      <c r="N17" s="125">
        <v>-672</v>
      </c>
      <c r="O17" s="127">
        <v>1991</v>
      </c>
      <c r="P17" s="126" t="s">
        <v>128</v>
      </c>
      <c r="Q17" s="126" t="s">
        <v>128</v>
      </c>
      <c r="R17" s="126" t="s">
        <v>128</v>
      </c>
      <c r="S17" s="126" t="s">
        <v>128</v>
      </c>
      <c r="T17" s="124">
        <v>-5391</v>
      </c>
      <c r="U17" s="125"/>
      <c r="V17" s="125">
        <v>-125</v>
      </c>
      <c r="W17" s="125"/>
      <c r="X17" s="124">
        <v>-6188</v>
      </c>
    </row>
    <row r="18" spans="1:24" x14ac:dyDescent="0.25">
      <c r="A18" s="127">
        <v>1992</v>
      </c>
      <c r="B18" s="128">
        <v>12399</v>
      </c>
      <c r="C18" s="128">
        <v>13795</v>
      </c>
      <c r="D18" s="124">
        <v>-1396</v>
      </c>
      <c r="E18" s="125"/>
      <c r="F18" s="124">
        <v>3019</v>
      </c>
      <c r="G18" s="124">
        <v>5482</v>
      </c>
      <c r="H18" s="124">
        <v>-2360</v>
      </c>
      <c r="I18" s="127">
        <v>1992</v>
      </c>
      <c r="J18" s="124">
        <v>-2360</v>
      </c>
      <c r="K18" s="125">
        <v>731</v>
      </c>
      <c r="L18" s="126" t="s">
        <v>128</v>
      </c>
      <c r="M18" s="125"/>
      <c r="N18" s="124">
        <v>-5488</v>
      </c>
      <c r="O18" s="127">
        <v>1992</v>
      </c>
      <c r="P18" s="124">
        <v>6718</v>
      </c>
      <c r="Q18" s="125">
        <v>974</v>
      </c>
      <c r="R18" s="144">
        <v>1268</v>
      </c>
      <c r="S18" s="125">
        <v>0</v>
      </c>
      <c r="T18" s="124">
        <v>8960</v>
      </c>
      <c r="U18" s="125"/>
      <c r="V18" s="125">
        <v>-198</v>
      </c>
      <c r="W18" s="125"/>
      <c r="X18" s="124">
        <v>3274</v>
      </c>
    </row>
    <row r="19" spans="1:24" x14ac:dyDescent="0.25">
      <c r="A19" s="127">
        <v>1993</v>
      </c>
      <c r="B19" s="128">
        <v>13269</v>
      </c>
      <c r="C19" s="128">
        <v>15633</v>
      </c>
      <c r="D19" s="124">
        <v>-2364</v>
      </c>
      <c r="E19" s="125"/>
      <c r="F19" s="124">
        <v>3188</v>
      </c>
      <c r="G19" s="124">
        <v>6409</v>
      </c>
      <c r="H19" s="124">
        <v>-2904</v>
      </c>
      <c r="I19" s="127">
        <v>1993</v>
      </c>
      <c r="J19" s="124">
        <v>-2904</v>
      </c>
      <c r="K19" s="125">
        <v>486</v>
      </c>
      <c r="L19" s="126" t="s">
        <v>128</v>
      </c>
      <c r="M19" s="125"/>
      <c r="N19" s="124">
        <v>-8003</v>
      </c>
      <c r="O19" s="127">
        <v>1993</v>
      </c>
      <c r="P19" s="124">
        <v>8135</v>
      </c>
      <c r="Q19" s="124">
        <v>-1694</v>
      </c>
      <c r="R19" s="144">
        <v>7055</v>
      </c>
      <c r="S19" s="125">
        <v>0</v>
      </c>
      <c r="T19" s="128">
        <v>13496</v>
      </c>
      <c r="U19" s="125"/>
      <c r="V19" s="124">
        <v>-1243</v>
      </c>
      <c r="W19" s="125"/>
      <c r="X19" s="124">
        <v>4250</v>
      </c>
    </row>
    <row r="20" spans="1:24" x14ac:dyDescent="0.25">
      <c r="A20" s="127">
        <v>1994</v>
      </c>
      <c r="B20" s="128">
        <v>16023.3</v>
      </c>
      <c r="C20" s="128">
        <v>20162.2</v>
      </c>
      <c r="D20" s="124">
        <v>-4138.8999999999996</v>
      </c>
      <c r="E20" s="125"/>
      <c r="F20" s="124">
        <v>3364.1</v>
      </c>
      <c r="G20" s="124">
        <v>7143.1</v>
      </c>
      <c r="H20" s="124">
        <v>-3779</v>
      </c>
      <c r="I20" s="127">
        <v>1994</v>
      </c>
      <c r="J20" s="124">
        <v>-3679.7652945120271</v>
      </c>
      <c r="K20" s="125">
        <v>497.2</v>
      </c>
      <c r="L20" s="126" t="s">
        <v>128</v>
      </c>
      <c r="M20" s="125"/>
      <c r="N20" s="128">
        <v>-11100.465294512027</v>
      </c>
      <c r="O20" s="127">
        <v>1994</v>
      </c>
      <c r="P20" s="124">
        <v>6666.6158655457775</v>
      </c>
      <c r="Q20" s="124">
        <v>1999.3050000000001</v>
      </c>
      <c r="R20" s="144">
        <v>3994.0594999999989</v>
      </c>
      <c r="S20" s="125">
        <v>0</v>
      </c>
      <c r="T20" s="128">
        <v>12659.980365545776</v>
      </c>
      <c r="U20" s="125"/>
      <c r="V20" s="125">
        <v>-895.01507103374979</v>
      </c>
      <c r="W20" s="125"/>
      <c r="X20" s="125">
        <v>664.50000000000136</v>
      </c>
    </row>
    <row r="21" spans="1:24" x14ac:dyDescent="0.25">
      <c r="A21" s="127">
        <v>1995</v>
      </c>
      <c r="B21" s="128">
        <v>21161.7</v>
      </c>
      <c r="C21" s="128">
        <v>18804.3</v>
      </c>
      <c r="D21" s="124">
        <v>2357.4</v>
      </c>
      <c r="E21" s="125"/>
      <c r="F21" s="124">
        <v>3825.6</v>
      </c>
      <c r="G21" s="124">
        <v>7261.7</v>
      </c>
      <c r="H21" s="124">
        <v>-3436.1</v>
      </c>
      <c r="I21" s="127">
        <v>1995</v>
      </c>
      <c r="J21" s="124">
        <v>-4677.2718139213457</v>
      </c>
      <c r="K21" s="125">
        <v>596.79999999999995</v>
      </c>
      <c r="L21" s="126" t="s">
        <v>128</v>
      </c>
      <c r="M21" s="125"/>
      <c r="N21" s="124">
        <v>-5159.1718139213453</v>
      </c>
      <c r="O21" s="127">
        <v>1995</v>
      </c>
      <c r="P21" s="124">
        <v>-3321.8195077628179</v>
      </c>
      <c r="Q21" s="124">
        <v>4692.09</v>
      </c>
      <c r="R21" s="144">
        <v>5854.8632741432211</v>
      </c>
      <c r="S21" s="125">
        <v>0</v>
      </c>
      <c r="T21" s="124">
        <v>7225.1337663804024</v>
      </c>
      <c r="U21" s="125"/>
      <c r="V21" s="124">
        <v>-2182.161952459056</v>
      </c>
      <c r="W21" s="125"/>
      <c r="X21" s="125">
        <v>-116.19999999999845</v>
      </c>
    </row>
    <row r="22" spans="1:24" x14ac:dyDescent="0.25">
      <c r="A22" s="127">
        <v>1996</v>
      </c>
      <c r="B22" s="128">
        <v>24042.7</v>
      </c>
      <c r="C22" s="128">
        <v>22283.200000000001</v>
      </c>
      <c r="D22" s="124">
        <v>1759.5</v>
      </c>
      <c r="E22" s="125"/>
      <c r="F22" s="124">
        <v>4351.6000000000004</v>
      </c>
      <c r="G22" s="124">
        <v>7913.6</v>
      </c>
      <c r="H22" s="124">
        <v>-3562</v>
      </c>
      <c r="I22" s="127">
        <v>1996</v>
      </c>
      <c r="J22" s="124">
        <v>-5504.5670982460224</v>
      </c>
      <c r="K22" s="125">
        <v>482.7</v>
      </c>
      <c r="L22" s="126" t="s">
        <v>128</v>
      </c>
      <c r="M22" s="125"/>
      <c r="N22" s="124">
        <v>-6824.3670982460226</v>
      </c>
      <c r="O22" s="127">
        <v>1996</v>
      </c>
      <c r="P22" s="124">
        <v>3494.1755127446113</v>
      </c>
      <c r="Q22" s="125">
        <v>-197.04499999999916</v>
      </c>
      <c r="R22" s="144">
        <v>9024.0171514815302</v>
      </c>
      <c r="S22" s="125">
        <v>0</v>
      </c>
      <c r="T22" s="128">
        <v>12321.147664226142</v>
      </c>
      <c r="U22" s="125"/>
      <c r="V22" s="124">
        <v>-1665.5805659801194</v>
      </c>
      <c r="W22" s="125"/>
      <c r="X22" s="124">
        <v>3831.2</v>
      </c>
    </row>
    <row r="23" spans="1:24" x14ac:dyDescent="0.25">
      <c r="A23" s="127">
        <v>1997</v>
      </c>
      <c r="B23" s="128">
        <v>26430.799999999999</v>
      </c>
      <c r="C23" s="128">
        <v>28553.5</v>
      </c>
      <c r="D23" s="124">
        <v>-2122.6999999999998</v>
      </c>
      <c r="E23" s="125"/>
      <c r="F23" s="124">
        <v>4533.7</v>
      </c>
      <c r="G23" s="124">
        <v>8941.7000000000007</v>
      </c>
      <c r="H23" s="124">
        <v>-4408</v>
      </c>
      <c r="I23" s="127">
        <v>1997</v>
      </c>
      <c r="J23" s="124">
        <v>-6224.0013577747377</v>
      </c>
      <c r="K23" s="125">
        <v>514.9</v>
      </c>
      <c r="L23" s="126" t="s">
        <v>128</v>
      </c>
      <c r="M23" s="125"/>
      <c r="N23" s="128">
        <v>-12239.801357774739</v>
      </c>
      <c r="O23" s="127">
        <v>1997</v>
      </c>
      <c r="P23" s="124">
        <v>9460.6719829212125</v>
      </c>
      <c r="Q23" s="125">
        <v>-909.26907692307577</v>
      </c>
      <c r="R23" s="144">
        <v>8162.6654958405452</v>
      </c>
      <c r="S23" s="125">
        <v>0</v>
      </c>
      <c r="T23" s="128">
        <v>16714.068401838682</v>
      </c>
      <c r="U23" s="125"/>
      <c r="V23" s="124">
        <v>-1267.5670440639421</v>
      </c>
      <c r="W23" s="125"/>
      <c r="X23" s="124">
        <v>3206.7</v>
      </c>
    </row>
    <row r="24" spans="1:24" x14ac:dyDescent="0.25">
      <c r="A24" s="127">
        <v>1998</v>
      </c>
      <c r="B24" s="128">
        <v>26433.7</v>
      </c>
      <c r="C24" s="128">
        <v>29530.9</v>
      </c>
      <c r="D24" s="124">
        <v>-3097.2</v>
      </c>
      <c r="E24" s="125"/>
      <c r="F24" s="124">
        <v>4755.72</v>
      </c>
      <c r="G24" s="124">
        <v>9245.9</v>
      </c>
      <c r="H24" s="124">
        <v>-4490.18</v>
      </c>
      <c r="I24" s="127">
        <v>1998</v>
      </c>
      <c r="J24" s="124">
        <v>-7404.5182700593314</v>
      </c>
      <c r="K24" s="125">
        <v>464.8</v>
      </c>
      <c r="L24" s="126" t="s">
        <v>128</v>
      </c>
      <c r="M24" s="125"/>
      <c r="N24" s="128">
        <v>-14527.09827005933</v>
      </c>
      <c r="O24" s="127">
        <v>1998</v>
      </c>
      <c r="P24" s="124">
        <v>5414.3412771138783</v>
      </c>
      <c r="Q24" s="124">
        <v>3505.2041538461544</v>
      </c>
      <c r="R24" s="144">
        <v>9361.2526704450338</v>
      </c>
      <c r="S24" s="125">
        <v>0</v>
      </c>
      <c r="T24" s="128">
        <v>18280.798101405067</v>
      </c>
      <c r="U24" s="125"/>
      <c r="V24" s="125">
        <v>-388.59983134573577</v>
      </c>
      <c r="W24" s="125"/>
      <c r="X24" s="124">
        <v>3361.9</v>
      </c>
    </row>
    <row r="25" spans="1:24" x14ac:dyDescent="0.25">
      <c r="A25" s="127">
        <v>1999</v>
      </c>
      <c r="B25" s="128">
        <v>23308.6</v>
      </c>
      <c r="C25" s="128">
        <v>24103.200000000001</v>
      </c>
      <c r="D25" s="125">
        <v>-794.59999999999491</v>
      </c>
      <c r="E25" s="125"/>
      <c r="F25" s="124">
        <v>4616.76</v>
      </c>
      <c r="G25" s="124">
        <v>8767.9</v>
      </c>
      <c r="H25" s="124">
        <v>-4151.1400000000003</v>
      </c>
      <c r="I25" s="127">
        <v>1999</v>
      </c>
      <c r="J25" s="124">
        <v>-7491.2966197202741</v>
      </c>
      <c r="K25" s="125">
        <v>454.13681315938652</v>
      </c>
      <c r="L25" s="126" t="s">
        <v>128</v>
      </c>
      <c r="M25" s="125"/>
      <c r="N25" s="128">
        <v>-11982.899806560887</v>
      </c>
      <c r="O25" s="127">
        <v>1999</v>
      </c>
      <c r="P25" s="124">
        <v>1407.1612506545282</v>
      </c>
      <c r="Q25" s="124">
        <v>1329.957194071756</v>
      </c>
      <c r="R25" s="145">
        <v>10885.914659547032</v>
      </c>
      <c r="S25" s="125">
        <v>0</v>
      </c>
      <c r="T25" s="128">
        <v>13623.033104273316</v>
      </c>
      <c r="U25" s="125"/>
      <c r="V25" s="125">
        <v>-588.43329771243089</v>
      </c>
      <c r="W25" s="125"/>
      <c r="X25" s="124">
        <v>1051.7</v>
      </c>
    </row>
    <row r="26" spans="1:24" x14ac:dyDescent="0.25">
      <c r="A26" s="123">
        <v>2000</v>
      </c>
      <c r="B26" s="128">
        <v>26341</v>
      </c>
      <c r="C26" s="128">
        <v>23889.1</v>
      </c>
      <c r="D26" s="124">
        <v>2451.9</v>
      </c>
      <c r="E26" s="125"/>
      <c r="F26" s="124">
        <v>4807.8999999999996</v>
      </c>
      <c r="G26" s="124">
        <v>9130.4</v>
      </c>
      <c r="H26" s="124">
        <v>-4322.5</v>
      </c>
      <c r="I26" s="123">
        <v>2000</v>
      </c>
      <c r="J26" s="124">
        <v>-7547.77036862146</v>
      </c>
      <c r="K26" s="125">
        <v>402.88043047173142</v>
      </c>
      <c r="L26" s="126" t="s">
        <v>128</v>
      </c>
      <c r="M26" s="125"/>
      <c r="N26" s="124">
        <v>-9015.4899381497289</v>
      </c>
      <c r="O26" s="123">
        <v>2000</v>
      </c>
      <c r="P26" s="125">
        <v>305.37634081570172</v>
      </c>
      <c r="Q26" s="125">
        <v>67.414684892030436</v>
      </c>
      <c r="R26" s="144">
        <v>8258.3654630807905</v>
      </c>
      <c r="S26" s="125">
        <v>0</v>
      </c>
      <c r="T26" s="124">
        <v>8631.1564887885215</v>
      </c>
      <c r="U26" s="125"/>
      <c r="V26" s="125">
        <v>-160.96655063879393</v>
      </c>
      <c r="W26" s="125"/>
      <c r="X26" s="125">
        <v>-545.30000000000177</v>
      </c>
    </row>
    <row r="27" spans="1:24" x14ac:dyDescent="0.25">
      <c r="A27" s="127">
        <v>2001</v>
      </c>
      <c r="B27" s="128">
        <v>26542.7</v>
      </c>
      <c r="C27" s="128">
        <v>19157.8</v>
      </c>
      <c r="D27" s="124">
        <v>7384.8999999999942</v>
      </c>
      <c r="E27" s="125"/>
      <c r="F27" s="124">
        <v>4521.7673538882736</v>
      </c>
      <c r="G27" s="124">
        <v>8432.3915959951228</v>
      </c>
      <c r="H27" s="124">
        <v>-3910.6242421068491</v>
      </c>
      <c r="I27" s="127">
        <v>2001</v>
      </c>
      <c r="J27" s="124">
        <v>-7237.2210772091257</v>
      </c>
      <c r="K27" s="125">
        <v>426.68085377544764</v>
      </c>
      <c r="L27" s="126" t="s">
        <v>128</v>
      </c>
      <c r="M27" s="125"/>
      <c r="N27" s="124">
        <v>-3336.2644655405279</v>
      </c>
      <c r="O27" s="127">
        <v>2001</v>
      </c>
      <c r="P27" s="128">
        <v>-13797.702329648107</v>
      </c>
      <c r="Q27" s="128">
        <v>11587.72273601923</v>
      </c>
      <c r="R27" s="144">
        <v>-3385.2690114367033</v>
      </c>
      <c r="S27" s="125">
        <v>0</v>
      </c>
      <c r="T27" s="124">
        <v>-5595.2486050655798</v>
      </c>
      <c r="U27" s="125"/>
      <c r="V27" s="124">
        <v>-3308.3869293938951</v>
      </c>
      <c r="W27" s="125"/>
      <c r="X27" s="128">
        <v>-12239.9</v>
      </c>
    </row>
    <row r="28" spans="1:24" x14ac:dyDescent="0.25">
      <c r="A28" s="127">
        <v>2002</v>
      </c>
      <c r="B28" s="128">
        <v>25650.6</v>
      </c>
      <c r="C28" s="124">
        <v>8473.1</v>
      </c>
      <c r="D28" s="128">
        <v>17177.5</v>
      </c>
      <c r="E28" s="125"/>
      <c r="F28" s="124">
        <v>3290</v>
      </c>
      <c r="G28" s="124">
        <v>4872</v>
      </c>
      <c r="H28" s="124">
        <v>-1582</v>
      </c>
      <c r="I28" s="127">
        <v>2002</v>
      </c>
      <c r="J28" s="124">
        <v>-7483.2199879737655</v>
      </c>
      <c r="K28" s="125">
        <v>562</v>
      </c>
      <c r="L28" s="126" t="s">
        <v>128</v>
      </c>
      <c r="M28" s="125"/>
      <c r="N28" s="124">
        <v>8674.2800120262345</v>
      </c>
      <c r="O28" s="127">
        <v>2002</v>
      </c>
      <c r="P28" s="128">
        <v>-12855.544907769021</v>
      </c>
      <c r="Q28" s="124">
        <v>-2572.6565521268058</v>
      </c>
      <c r="R28" s="144">
        <v>3617.928137375151</v>
      </c>
      <c r="S28" s="125">
        <v>0</v>
      </c>
      <c r="T28" s="128">
        <v>-11810.273322520676</v>
      </c>
      <c r="U28" s="125"/>
      <c r="V28" s="124">
        <v>-1784</v>
      </c>
      <c r="W28" s="125"/>
      <c r="X28" s="124">
        <v>-4919.9933104944403</v>
      </c>
    </row>
    <row r="29" spans="1:24" x14ac:dyDescent="0.25">
      <c r="A29" s="127">
        <v>2003</v>
      </c>
      <c r="B29" s="128">
        <v>29565.8</v>
      </c>
      <c r="C29" s="128">
        <v>13117.7</v>
      </c>
      <c r="D29" s="128">
        <v>16448.099999999999</v>
      </c>
      <c r="E29" s="125"/>
      <c r="F29" s="124">
        <v>4206</v>
      </c>
      <c r="G29" s="124">
        <v>5601</v>
      </c>
      <c r="H29" s="124">
        <v>-1395</v>
      </c>
      <c r="I29" s="127">
        <v>2003</v>
      </c>
      <c r="J29" s="124">
        <v>-7972.1362485374975</v>
      </c>
      <c r="K29" s="125">
        <v>577.09146924187473</v>
      </c>
      <c r="L29" s="126" t="s">
        <v>128</v>
      </c>
      <c r="M29" s="125"/>
      <c r="N29" s="124">
        <v>7658.0552207043766</v>
      </c>
      <c r="O29" s="127">
        <v>2003</v>
      </c>
      <c r="P29" s="124">
        <v>-4882</v>
      </c>
      <c r="Q29" s="124">
        <v>-3000.9658591708712</v>
      </c>
      <c r="R29" s="144">
        <v>4636.7154317765817</v>
      </c>
      <c r="S29" s="125">
        <v>0</v>
      </c>
      <c r="T29" s="124">
        <v>-3246.2504273942895</v>
      </c>
      <c r="U29" s="125"/>
      <c r="V29" s="125">
        <v>-901</v>
      </c>
      <c r="W29" s="125"/>
      <c r="X29" s="124">
        <v>3510.8047933100879</v>
      </c>
    </row>
    <row r="30" spans="1:24" x14ac:dyDescent="0.25">
      <c r="A30" s="127">
        <v>2004</v>
      </c>
      <c r="B30" s="128">
        <v>34550</v>
      </c>
      <c r="C30" s="128">
        <v>21312</v>
      </c>
      <c r="D30" s="128">
        <v>13238</v>
      </c>
      <c r="E30" s="125"/>
      <c r="F30" s="124">
        <v>5148</v>
      </c>
      <c r="G30" s="124">
        <v>6841</v>
      </c>
      <c r="H30" s="124">
        <v>-1693</v>
      </c>
      <c r="I30" s="127">
        <v>2004</v>
      </c>
      <c r="J30" s="124">
        <v>-8887.5062317500124</v>
      </c>
      <c r="K30" s="125">
        <v>688</v>
      </c>
      <c r="L30" s="126" t="s">
        <v>128</v>
      </c>
      <c r="M30" s="125"/>
      <c r="N30" s="124">
        <v>3348.4937682499872</v>
      </c>
      <c r="O30" s="127">
        <v>2004</v>
      </c>
      <c r="P30" s="125">
        <v>15</v>
      </c>
      <c r="Q30" s="124">
        <v>-3097.1074814620001</v>
      </c>
      <c r="R30" s="144">
        <v>4945.929319135852</v>
      </c>
      <c r="S30" s="125">
        <v>0</v>
      </c>
      <c r="T30" s="124">
        <v>1863.8218376738523</v>
      </c>
      <c r="U30" s="125"/>
      <c r="V30" s="125">
        <v>62</v>
      </c>
      <c r="W30" s="125"/>
      <c r="X30" s="124">
        <v>5274.315605923839</v>
      </c>
    </row>
  </sheetData>
  <mergeCells count="29">
    <mergeCell ref="O1:O5"/>
    <mergeCell ref="P1:T1"/>
    <mergeCell ref="V1:V4"/>
    <mergeCell ref="X1:X4"/>
    <mergeCell ref="P2:P4"/>
    <mergeCell ref="Q2:Q4"/>
    <mergeCell ref="R2:R4"/>
    <mergeCell ref="S2:S4"/>
    <mergeCell ref="T2:T4"/>
    <mergeCell ref="P5:S5"/>
    <mergeCell ref="B5:D5"/>
    <mergeCell ref="F5:H5"/>
    <mergeCell ref="I1:I5"/>
    <mergeCell ref="J1:N1"/>
    <mergeCell ref="J2:J4"/>
    <mergeCell ref="K2:K4"/>
    <mergeCell ref="L2:L4"/>
    <mergeCell ref="N2:N4"/>
    <mergeCell ref="J5:L5"/>
    <mergeCell ref="A1:A5"/>
    <mergeCell ref="B1:H1"/>
    <mergeCell ref="B2:D2"/>
    <mergeCell ref="F2:H2"/>
    <mergeCell ref="B3:B4"/>
    <mergeCell ref="C3:C4"/>
    <mergeCell ref="D3:D4"/>
    <mergeCell ref="F3:F4"/>
    <mergeCell ref="G3:G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ADDA-001D-48C9-ABA7-75A8BA7A0F45}">
  <dimension ref="A1:BC307"/>
  <sheetViews>
    <sheetView tabSelected="1" workbookViewId="0">
      <pane xSplit="3" ySplit="7" topLeftCell="R252" activePane="bottomRight" state="frozen"/>
      <selection pane="topRight" activeCell="D1" sqref="D1"/>
      <selection pane="bottomLeft" activeCell="A8" sqref="A8"/>
      <selection pane="bottomRight" activeCell="J280" sqref="J280"/>
    </sheetView>
  </sheetViews>
  <sheetFormatPr baseColWidth="10" defaultRowHeight="15" x14ac:dyDescent="0.25"/>
  <cols>
    <col min="5" max="5" width="13.85546875" bestFit="1" customWidth="1"/>
    <col min="8" max="8" width="20.85546875" bestFit="1" customWidth="1"/>
    <col min="9" max="18" width="20.85546875" customWidth="1"/>
    <col min="49" max="49" width="12.28515625" bestFit="1" customWidth="1"/>
    <col min="51" max="51" width="23.5703125" customWidth="1"/>
    <col min="54" max="54" width="13.28515625" bestFit="1" customWidth="1"/>
  </cols>
  <sheetData>
    <row r="1" spans="1:51" x14ac:dyDescent="0.25">
      <c r="A1" s="12" t="s">
        <v>2</v>
      </c>
      <c r="B1" s="13" t="s">
        <v>15</v>
      </c>
      <c r="C1" s="14"/>
      <c r="D1" s="15" t="s">
        <v>16</v>
      </c>
      <c r="E1" s="16"/>
      <c r="F1" s="17"/>
      <c r="G1" s="18" t="s">
        <v>17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20" t="s">
        <v>18</v>
      </c>
      <c r="AF1" s="19" t="s">
        <v>19</v>
      </c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8" t="s">
        <v>20</v>
      </c>
      <c r="AS1" s="19"/>
      <c r="AT1" s="19"/>
      <c r="AU1" s="19"/>
      <c r="AV1" s="21"/>
      <c r="AW1" s="22" t="s">
        <v>21</v>
      </c>
    </row>
    <row r="2" spans="1:51" x14ac:dyDescent="0.25">
      <c r="A2" s="23"/>
      <c r="B2" s="24"/>
      <c r="C2" s="25"/>
      <c r="D2" s="26" t="s">
        <v>22</v>
      </c>
      <c r="E2" s="26" t="s">
        <v>23</v>
      </c>
      <c r="F2" s="27" t="s">
        <v>24</v>
      </c>
      <c r="G2" s="18" t="s">
        <v>25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8" t="s">
        <v>26</v>
      </c>
      <c r="T2" s="19"/>
      <c r="U2" s="19"/>
      <c r="V2" s="19"/>
      <c r="W2" s="19"/>
      <c r="X2" s="19"/>
      <c r="Y2" s="19"/>
      <c r="Z2" s="19"/>
      <c r="AA2" s="28"/>
      <c r="AB2" s="28"/>
      <c r="AC2" s="29"/>
      <c r="AD2" s="30" t="s">
        <v>27</v>
      </c>
      <c r="AE2" s="20"/>
      <c r="AF2" s="31" t="s">
        <v>18</v>
      </c>
      <c r="AG2" s="18" t="s">
        <v>28</v>
      </c>
      <c r="AH2" s="19"/>
      <c r="AI2" s="19"/>
      <c r="AJ2" s="19"/>
      <c r="AK2" s="19"/>
      <c r="AL2" s="19"/>
      <c r="AM2" s="32" t="s">
        <v>29</v>
      </c>
      <c r="AN2" s="30" t="s">
        <v>28</v>
      </c>
      <c r="AO2" s="105" t="s">
        <v>30</v>
      </c>
      <c r="AP2" s="105" t="s">
        <v>31</v>
      </c>
      <c r="AQ2" s="30" t="s">
        <v>32</v>
      </c>
      <c r="AR2" s="30" t="s">
        <v>18</v>
      </c>
      <c r="AS2" s="18" t="s">
        <v>33</v>
      </c>
      <c r="AT2" s="19"/>
      <c r="AU2" s="19"/>
      <c r="AV2" s="33" t="s">
        <v>34</v>
      </c>
      <c r="AW2" s="22" t="s">
        <v>35</v>
      </c>
    </row>
    <row r="3" spans="1:51" x14ac:dyDescent="0.25">
      <c r="A3" s="23"/>
      <c r="B3" s="24"/>
      <c r="C3" s="25"/>
      <c r="D3" s="26"/>
      <c r="E3" s="26" t="s">
        <v>36</v>
      </c>
      <c r="F3" s="34" t="s">
        <v>37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 t="s">
        <v>18</v>
      </c>
      <c r="T3" s="35" t="s">
        <v>38</v>
      </c>
      <c r="U3" s="28"/>
      <c r="V3" s="28"/>
      <c r="W3" s="28"/>
      <c r="X3" s="28"/>
      <c r="Y3" s="28"/>
      <c r="Z3" s="29"/>
      <c r="AA3" s="18" t="s">
        <v>39</v>
      </c>
      <c r="AB3" s="19"/>
      <c r="AC3" s="36"/>
      <c r="AD3" s="30" t="s">
        <v>40</v>
      </c>
      <c r="AE3" s="20"/>
      <c r="AF3" s="31"/>
      <c r="AG3" s="30" t="s">
        <v>18</v>
      </c>
      <c r="AH3" s="108" t="s">
        <v>41</v>
      </c>
      <c r="AI3" s="109"/>
      <c r="AJ3" s="109"/>
      <c r="AK3" s="110"/>
      <c r="AL3" s="30" t="s">
        <v>42</v>
      </c>
      <c r="AM3" s="20" t="s">
        <v>43</v>
      </c>
      <c r="AN3" s="30" t="s">
        <v>44</v>
      </c>
      <c r="AO3" s="106"/>
      <c r="AP3" s="106"/>
      <c r="AQ3" s="30" t="s">
        <v>45</v>
      </c>
      <c r="AR3" s="30"/>
      <c r="AS3" s="30" t="s">
        <v>18</v>
      </c>
      <c r="AT3" s="30" t="s">
        <v>46</v>
      </c>
      <c r="AU3" s="30" t="s">
        <v>47</v>
      </c>
      <c r="AV3" s="33" t="s">
        <v>48</v>
      </c>
      <c r="AW3" s="37" t="s">
        <v>49</v>
      </c>
    </row>
    <row r="4" spans="1:51" x14ac:dyDescent="0.25">
      <c r="A4" s="23"/>
      <c r="B4" s="24"/>
      <c r="C4" s="25"/>
      <c r="D4" s="26"/>
      <c r="E4" s="26" t="s">
        <v>50</v>
      </c>
      <c r="F4" s="34" t="s">
        <v>51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 t="s">
        <v>18</v>
      </c>
      <c r="U4" s="18" t="s">
        <v>52</v>
      </c>
      <c r="V4" s="19"/>
      <c r="W4" s="38"/>
      <c r="X4" s="13"/>
      <c r="Y4" s="13"/>
      <c r="Z4" s="39" t="s">
        <v>53</v>
      </c>
      <c r="AA4" s="20" t="s">
        <v>54</v>
      </c>
      <c r="AB4" s="20" t="s">
        <v>55</v>
      </c>
      <c r="AC4" s="20" t="s">
        <v>56</v>
      </c>
      <c r="AD4" s="30" t="s">
        <v>57</v>
      </c>
      <c r="AE4" s="20"/>
      <c r="AF4" s="31"/>
      <c r="AG4" s="30"/>
      <c r="AH4" s="30" t="s">
        <v>18</v>
      </c>
      <c r="AI4" s="30" t="s">
        <v>58</v>
      </c>
      <c r="AJ4" s="30" t="s">
        <v>59</v>
      </c>
      <c r="AK4" s="30" t="s">
        <v>60</v>
      </c>
      <c r="AL4" s="30"/>
      <c r="AM4" s="20" t="s">
        <v>61</v>
      </c>
      <c r="AN4" s="30" t="s">
        <v>57</v>
      </c>
      <c r="AO4" s="106"/>
      <c r="AP4" s="106"/>
      <c r="AQ4" s="30" t="s">
        <v>62</v>
      </c>
      <c r="AR4" s="30"/>
      <c r="AS4" s="30"/>
      <c r="AT4" s="30" t="s">
        <v>63</v>
      </c>
      <c r="AU4" s="30" t="s">
        <v>40</v>
      </c>
      <c r="AV4" s="33" t="s">
        <v>64</v>
      </c>
      <c r="AW4" s="37" t="s">
        <v>65</v>
      </c>
    </row>
    <row r="5" spans="1:51" x14ac:dyDescent="0.25">
      <c r="A5" s="23"/>
      <c r="B5" s="24"/>
      <c r="C5" s="25"/>
      <c r="D5" s="26"/>
      <c r="E5" s="26" t="s">
        <v>66</v>
      </c>
      <c r="F5" s="34" t="s">
        <v>67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 t="s">
        <v>18</v>
      </c>
      <c r="V5" s="30" t="s">
        <v>68</v>
      </c>
      <c r="W5" s="35" t="s">
        <v>69</v>
      </c>
      <c r="X5" s="28"/>
      <c r="Y5" s="28"/>
      <c r="Z5" s="39" t="s">
        <v>70</v>
      </c>
      <c r="AA5" s="40"/>
      <c r="AB5" s="20" t="s">
        <v>71</v>
      </c>
      <c r="AC5" s="20" t="s">
        <v>72</v>
      </c>
      <c r="AD5" s="30" t="s">
        <v>61</v>
      </c>
      <c r="AE5" s="20"/>
      <c r="AF5" s="31"/>
      <c r="AG5" s="30"/>
      <c r="AH5" s="30"/>
      <c r="AI5" s="30" t="s">
        <v>73</v>
      </c>
      <c r="AJ5" s="30" t="s">
        <v>74</v>
      </c>
      <c r="AK5" s="30" t="s">
        <v>75</v>
      </c>
      <c r="AL5" s="30"/>
      <c r="AM5" s="20" t="s">
        <v>76</v>
      </c>
      <c r="AN5" s="30" t="s">
        <v>61</v>
      </c>
      <c r="AO5" s="106"/>
      <c r="AP5" s="106"/>
      <c r="AQ5" s="30"/>
      <c r="AR5" s="30"/>
      <c r="AS5" s="30"/>
      <c r="AT5" s="30" t="s">
        <v>77</v>
      </c>
      <c r="AU5" s="30" t="s">
        <v>57</v>
      </c>
      <c r="AV5" s="33" t="s">
        <v>78</v>
      </c>
      <c r="AW5" s="37" t="s">
        <v>79</v>
      </c>
    </row>
    <row r="6" spans="1:51" x14ac:dyDescent="0.25">
      <c r="A6" s="23"/>
      <c r="B6" s="24"/>
      <c r="C6" s="25"/>
      <c r="D6" s="26"/>
      <c r="E6" s="26"/>
      <c r="F6" s="34" t="s">
        <v>80</v>
      </c>
      <c r="G6" s="30"/>
      <c r="H6" s="30"/>
      <c r="I6" s="30"/>
      <c r="J6" s="30"/>
      <c r="K6" s="30"/>
      <c r="L6" s="30"/>
      <c r="M6" s="30"/>
      <c r="N6" s="30"/>
      <c r="O6" s="30"/>
      <c r="P6" s="30" t="s">
        <v>120</v>
      </c>
      <c r="Q6" s="30"/>
      <c r="R6" s="30"/>
      <c r="S6" s="30"/>
      <c r="T6" s="30"/>
      <c r="U6" s="30"/>
      <c r="V6" s="30" t="s">
        <v>81</v>
      </c>
      <c r="W6" s="30" t="s">
        <v>18</v>
      </c>
      <c r="X6" s="32" t="s">
        <v>82</v>
      </c>
      <c r="Y6" s="41" t="s">
        <v>83</v>
      </c>
      <c r="Z6" s="39"/>
      <c r="AA6" s="20"/>
      <c r="AB6" s="20" t="s">
        <v>84</v>
      </c>
      <c r="AC6" s="20" t="s">
        <v>85</v>
      </c>
      <c r="AD6" s="30" t="s">
        <v>76</v>
      </c>
      <c r="AE6" s="20"/>
      <c r="AF6" s="31"/>
      <c r="AG6" s="30"/>
      <c r="AH6" s="30"/>
      <c r="AI6" s="30" t="s">
        <v>86</v>
      </c>
      <c r="AJ6" s="30"/>
      <c r="AK6" s="30" t="s">
        <v>87</v>
      </c>
      <c r="AL6" s="30"/>
      <c r="AM6" s="40" t="s">
        <v>88</v>
      </c>
      <c r="AN6" s="30" t="s">
        <v>74</v>
      </c>
      <c r="AO6" s="106"/>
      <c r="AP6" s="106"/>
      <c r="AQ6" s="30"/>
      <c r="AR6" s="30"/>
      <c r="AS6" s="30"/>
      <c r="AT6" s="30"/>
      <c r="AU6" s="30"/>
      <c r="AV6" s="33" t="s">
        <v>89</v>
      </c>
      <c r="AW6" s="37" t="s">
        <v>90</v>
      </c>
    </row>
    <row r="7" spans="1:51" ht="15.75" thickBot="1" x14ac:dyDescent="0.3">
      <c r="A7" s="42"/>
      <c r="B7" s="43"/>
      <c r="C7" s="44"/>
      <c r="D7" s="45"/>
      <c r="E7" s="45"/>
      <c r="F7" s="46" t="s">
        <v>91</v>
      </c>
      <c r="G7" s="47"/>
      <c r="H7" s="30" t="s">
        <v>113</v>
      </c>
      <c r="I7" s="30" t="s">
        <v>114</v>
      </c>
      <c r="J7" s="30" t="s">
        <v>115</v>
      </c>
      <c r="K7" s="30" t="s">
        <v>116</v>
      </c>
      <c r="L7" s="30" t="s">
        <v>117</v>
      </c>
      <c r="M7" s="30" t="s">
        <v>118</v>
      </c>
      <c r="N7" s="30" t="s">
        <v>119</v>
      </c>
      <c r="O7" s="30" t="s">
        <v>139</v>
      </c>
      <c r="P7" s="30" t="s">
        <v>116</v>
      </c>
      <c r="Q7" s="30" t="s">
        <v>117</v>
      </c>
      <c r="R7" s="30" t="s">
        <v>118</v>
      </c>
      <c r="S7" s="47"/>
      <c r="T7" s="47"/>
      <c r="U7" s="47"/>
      <c r="V7" s="47"/>
      <c r="W7" s="48" t="s">
        <v>92</v>
      </c>
      <c r="X7" s="49" t="s">
        <v>93</v>
      </c>
      <c r="Y7" s="47"/>
      <c r="Z7" s="50"/>
      <c r="AA7" s="51"/>
      <c r="AB7" s="49" t="s">
        <v>93</v>
      </c>
      <c r="AC7" s="51"/>
      <c r="AD7" s="47" t="s">
        <v>62</v>
      </c>
      <c r="AE7" s="51"/>
      <c r="AF7" s="52"/>
      <c r="AG7" s="47"/>
      <c r="AH7" s="47"/>
      <c r="AI7" s="47"/>
      <c r="AJ7" s="47"/>
      <c r="AK7" s="47" t="s">
        <v>94</v>
      </c>
      <c r="AL7" s="47"/>
      <c r="AM7" s="51"/>
      <c r="AN7" s="47" t="s">
        <v>95</v>
      </c>
      <c r="AO7" s="107"/>
      <c r="AP7" s="107"/>
      <c r="AQ7" s="47"/>
      <c r="AR7" s="47"/>
      <c r="AS7" s="47"/>
      <c r="AT7" s="47"/>
      <c r="AU7" s="47"/>
      <c r="AV7" s="47" t="s">
        <v>95</v>
      </c>
      <c r="AW7" s="53"/>
    </row>
    <row r="8" spans="1:51" ht="15.75" thickTop="1" x14ac:dyDescent="0.25">
      <c r="A8" s="62">
        <v>1980.01</v>
      </c>
      <c r="B8" s="58" t="s">
        <v>108</v>
      </c>
      <c r="C8" s="55"/>
      <c r="D8" s="59" t="s">
        <v>109</v>
      </c>
      <c r="E8" s="59">
        <v>1000000000</v>
      </c>
      <c r="F8" s="60">
        <v>1.0000000000000001E-11</v>
      </c>
      <c r="G8" s="61">
        <v>9181</v>
      </c>
      <c r="H8" s="61">
        <f>+G8*E8*F8</f>
        <v>91.81</v>
      </c>
      <c r="I8" s="146">
        <f>+AY8</f>
        <v>1.667E-8</v>
      </c>
      <c r="J8" s="61">
        <f>+H8/I8</f>
        <v>5507498500.2999401</v>
      </c>
      <c r="K8" s="61">
        <f>+S8*E8*F8</f>
        <v>41.430000000000007</v>
      </c>
      <c r="L8" s="61">
        <f>+AD8*E8*F8</f>
        <v>6.370000000000001</v>
      </c>
      <c r="M8" s="61">
        <f>+AR8*E8*F8</f>
        <v>131.53</v>
      </c>
      <c r="N8" s="79">
        <v>9.0757800000000003E-7</v>
      </c>
      <c r="O8" s="80">
        <f>+I8/N8</f>
        <v>1.8367567305509827E-2</v>
      </c>
      <c r="P8" s="61">
        <f>+K8/$N8</f>
        <v>45648969.014233492</v>
      </c>
      <c r="Q8" s="61">
        <f>+L8/$N8</f>
        <v>7018680.4880682444</v>
      </c>
      <c r="R8" s="61">
        <f>+M8/$N8</f>
        <v>144924182.82505745</v>
      </c>
      <c r="S8" s="61">
        <f t="shared" ref="S8:S71" si="0">+T8</f>
        <v>4143</v>
      </c>
      <c r="T8" s="61">
        <v>4143</v>
      </c>
      <c r="U8" s="61">
        <v>1289</v>
      </c>
      <c r="V8" s="61">
        <v>261</v>
      </c>
      <c r="W8" s="61">
        <v>1016</v>
      </c>
      <c r="X8" s="61"/>
      <c r="Y8" s="61"/>
      <c r="Z8" s="61"/>
      <c r="AA8" s="61"/>
      <c r="AB8" s="61"/>
      <c r="AC8" s="61"/>
      <c r="AD8" s="61">
        <v>637</v>
      </c>
      <c r="AE8" s="61">
        <v>9818</v>
      </c>
      <c r="AF8" s="61">
        <v>808</v>
      </c>
      <c r="AG8" s="61">
        <v>247</v>
      </c>
      <c r="AH8" s="61">
        <v>101</v>
      </c>
      <c r="AI8" s="61"/>
      <c r="AJ8" s="61"/>
      <c r="AK8" s="61"/>
      <c r="AL8" s="61">
        <v>146</v>
      </c>
      <c r="AM8" s="61"/>
      <c r="AN8" s="61"/>
      <c r="AO8" s="61">
        <v>0</v>
      </c>
      <c r="AP8" s="61">
        <v>0</v>
      </c>
      <c r="AQ8" s="61">
        <v>561</v>
      </c>
      <c r="AR8" s="61">
        <v>13153</v>
      </c>
      <c r="AS8" s="61">
        <v>9633</v>
      </c>
      <c r="AT8" s="61">
        <v>7191.4</v>
      </c>
      <c r="AU8" s="61">
        <v>2441.6</v>
      </c>
      <c r="AV8" s="61">
        <v>3520</v>
      </c>
      <c r="AW8" s="65">
        <v>1667</v>
      </c>
      <c r="AX8">
        <f>+AW8/1000</f>
        <v>1.667</v>
      </c>
      <c r="AY8" s="78">
        <f>+AX8/100000000</f>
        <v>1.667E-8</v>
      </c>
    </row>
    <row r="9" spans="1:51" x14ac:dyDescent="0.25">
      <c r="A9" s="57"/>
      <c r="B9" s="58" t="s">
        <v>104</v>
      </c>
      <c r="C9" s="55"/>
      <c r="D9" s="59" t="s">
        <v>109</v>
      </c>
      <c r="E9" s="59">
        <v>1000000000</v>
      </c>
      <c r="F9" s="60">
        <v>1.0000000000000001E-11</v>
      </c>
      <c r="G9" s="61">
        <v>9284</v>
      </c>
      <c r="H9" s="61">
        <f t="shared" ref="H9:H72" si="1">+G9*E9*F9</f>
        <v>92.84</v>
      </c>
      <c r="I9" s="146">
        <f t="shared" ref="I9:I72" si="2">+AY9</f>
        <v>1.7100000000000001E-8</v>
      </c>
      <c r="J9" s="61">
        <f t="shared" ref="J9:J72" si="3">+H9/I9</f>
        <v>5429239766.081871</v>
      </c>
      <c r="K9" s="61">
        <f t="shared" ref="K9:K72" si="4">+S9*E9*F9</f>
        <v>42.300000000000004</v>
      </c>
      <c r="L9" s="61">
        <f t="shared" ref="L9:L72" si="5">+AD9*E9*F9</f>
        <v>6.4500000000000011</v>
      </c>
      <c r="M9" s="61">
        <f t="shared" ref="M9:M72" si="6">+AR9*E9*F9</f>
        <v>132.49</v>
      </c>
      <c r="N9" s="80">
        <v>9.5609200000000004E-7</v>
      </c>
      <c r="O9" s="80">
        <f t="shared" ref="O9:O72" si="7">+I9/N9</f>
        <v>1.7885308108424713E-2</v>
      </c>
      <c r="P9" s="61">
        <f t="shared" ref="P9:P72" si="8">+K9/$N9</f>
        <v>44242604.268208504</v>
      </c>
      <c r="Q9" s="61">
        <f t="shared" ref="Q9:Q72" si="9">+L9/$N9</f>
        <v>6746212.7075637085</v>
      </c>
      <c r="R9" s="61">
        <f t="shared" ref="R9:R72" si="10">+M9/$N9</f>
        <v>138574530.48451406</v>
      </c>
      <c r="S9" s="61">
        <f t="shared" si="0"/>
        <v>4230</v>
      </c>
      <c r="T9" s="61">
        <v>4230</v>
      </c>
      <c r="U9" s="61">
        <v>1472</v>
      </c>
      <c r="V9" s="61">
        <v>439</v>
      </c>
      <c r="W9" s="61">
        <v>1016</v>
      </c>
      <c r="X9" s="61"/>
      <c r="Y9" s="61"/>
      <c r="Z9" s="61"/>
      <c r="AA9" s="61"/>
      <c r="AB9" s="61"/>
      <c r="AC9" s="61"/>
      <c r="AD9" s="61">
        <v>645</v>
      </c>
      <c r="AE9" s="61">
        <v>9929</v>
      </c>
      <c r="AF9" s="61">
        <v>910</v>
      </c>
      <c r="AG9" s="61">
        <v>332</v>
      </c>
      <c r="AH9" s="61">
        <v>164</v>
      </c>
      <c r="AI9" s="61"/>
      <c r="AJ9" s="61"/>
      <c r="AK9" s="61"/>
      <c r="AL9" s="61">
        <v>168</v>
      </c>
      <c r="AM9" s="61"/>
      <c r="AN9" s="61"/>
      <c r="AO9" s="61">
        <v>0</v>
      </c>
      <c r="AP9" s="61">
        <v>0</v>
      </c>
      <c r="AQ9" s="61">
        <v>578</v>
      </c>
      <c r="AR9" s="61">
        <v>13249</v>
      </c>
      <c r="AS9" s="61">
        <v>10064</v>
      </c>
      <c r="AT9" s="61">
        <v>7631</v>
      </c>
      <c r="AU9" s="61">
        <v>2433</v>
      </c>
      <c r="AV9" s="61">
        <v>3185</v>
      </c>
      <c r="AW9" s="65">
        <v>1710</v>
      </c>
      <c r="AX9">
        <f t="shared" ref="AX9:AX43" si="11">+AW9/1000</f>
        <v>1.71</v>
      </c>
      <c r="AY9" s="78">
        <f t="shared" ref="AY9:AY72" si="12">+AX9/100000000</f>
        <v>1.7100000000000001E-8</v>
      </c>
    </row>
    <row r="10" spans="1:51" x14ac:dyDescent="0.25">
      <c r="A10" s="57"/>
      <c r="B10" s="58" t="s">
        <v>105</v>
      </c>
      <c r="C10" s="55"/>
      <c r="D10" s="59" t="s">
        <v>109</v>
      </c>
      <c r="E10" s="59">
        <v>1000000000</v>
      </c>
      <c r="F10" s="60">
        <v>1.0000000000000001E-11</v>
      </c>
      <c r="G10" s="61">
        <v>9121</v>
      </c>
      <c r="H10" s="61">
        <f t="shared" si="1"/>
        <v>91.210000000000008</v>
      </c>
      <c r="I10" s="146">
        <f t="shared" si="2"/>
        <v>1.7509999999999999E-8</v>
      </c>
      <c r="J10" s="61">
        <f t="shared" si="3"/>
        <v>5209023415.1913195</v>
      </c>
      <c r="K10" s="61">
        <f t="shared" si="4"/>
        <v>39.950000000000003</v>
      </c>
      <c r="L10" s="61">
        <f t="shared" si="5"/>
        <v>8.5100000000000016</v>
      </c>
      <c r="M10" s="61">
        <f t="shared" si="6"/>
        <v>131.38000000000002</v>
      </c>
      <c r="N10" s="80">
        <v>1.011507E-6</v>
      </c>
      <c r="O10" s="80">
        <f t="shared" si="7"/>
        <v>1.7310804571792387E-2</v>
      </c>
      <c r="P10" s="61">
        <f t="shared" si="8"/>
        <v>39495524.993895255</v>
      </c>
      <c r="Q10" s="61">
        <f t="shared" si="9"/>
        <v>8413189.4292377625</v>
      </c>
      <c r="R10" s="61">
        <f t="shared" si="10"/>
        <v>129885408.60320297</v>
      </c>
      <c r="S10" s="61">
        <f t="shared" si="0"/>
        <v>3995</v>
      </c>
      <c r="T10" s="61">
        <v>3995</v>
      </c>
      <c r="U10" s="61">
        <v>1351</v>
      </c>
      <c r="V10" s="61">
        <v>312</v>
      </c>
      <c r="W10" s="61">
        <v>1016</v>
      </c>
      <c r="X10" s="61"/>
      <c r="Y10" s="61"/>
      <c r="Z10" s="61"/>
      <c r="AA10" s="61"/>
      <c r="AB10" s="61"/>
      <c r="AC10" s="61"/>
      <c r="AD10" s="61">
        <v>851</v>
      </c>
      <c r="AE10" s="61">
        <v>9972</v>
      </c>
      <c r="AF10" s="61">
        <v>829</v>
      </c>
      <c r="AG10" s="61">
        <v>250</v>
      </c>
      <c r="AH10" s="61">
        <v>69</v>
      </c>
      <c r="AI10" s="61"/>
      <c r="AJ10" s="61"/>
      <c r="AK10" s="61"/>
      <c r="AL10" s="61">
        <v>181</v>
      </c>
      <c r="AM10" s="61"/>
      <c r="AN10" s="61"/>
      <c r="AO10" s="61">
        <v>0</v>
      </c>
      <c r="AP10" s="61">
        <v>0</v>
      </c>
      <c r="AQ10" s="61">
        <v>579</v>
      </c>
      <c r="AR10" s="61">
        <v>13138</v>
      </c>
      <c r="AS10" s="61">
        <v>10802</v>
      </c>
      <c r="AT10" s="61">
        <v>7964.5</v>
      </c>
      <c r="AU10" s="61">
        <v>2837.5</v>
      </c>
      <c r="AV10" s="61">
        <v>2336</v>
      </c>
      <c r="AW10" s="65">
        <v>1751</v>
      </c>
      <c r="AX10">
        <f t="shared" si="11"/>
        <v>1.7509999999999999</v>
      </c>
      <c r="AY10" s="78">
        <f t="shared" si="12"/>
        <v>1.7509999999999999E-8</v>
      </c>
    </row>
    <row r="11" spans="1:51" x14ac:dyDescent="0.25">
      <c r="A11" s="57"/>
      <c r="B11" s="58" t="s">
        <v>106</v>
      </c>
      <c r="C11" s="55"/>
      <c r="D11" s="59" t="s">
        <v>109</v>
      </c>
      <c r="E11" s="59">
        <v>1000000000</v>
      </c>
      <c r="F11" s="60">
        <v>1.0000000000000001E-11</v>
      </c>
      <c r="G11" s="61">
        <v>7686</v>
      </c>
      <c r="H11" s="61">
        <f t="shared" si="1"/>
        <v>76.860000000000014</v>
      </c>
      <c r="I11" s="146">
        <f t="shared" si="2"/>
        <v>1.789E-8</v>
      </c>
      <c r="J11" s="61">
        <f t="shared" si="3"/>
        <v>4296254891.0005598</v>
      </c>
      <c r="K11" s="61">
        <f t="shared" si="4"/>
        <v>35.830000000000005</v>
      </c>
      <c r="L11" s="61">
        <f t="shared" si="5"/>
        <v>52.88</v>
      </c>
      <c r="M11" s="61">
        <f t="shared" si="6"/>
        <v>142.38000000000002</v>
      </c>
      <c r="N11" s="80">
        <v>1.073977E-6</v>
      </c>
      <c r="O11" s="80">
        <f t="shared" si="7"/>
        <v>1.6657712409111181E-2</v>
      </c>
      <c r="P11" s="61">
        <f t="shared" si="8"/>
        <v>33361980.750053313</v>
      </c>
      <c r="Q11" s="61">
        <f t="shared" si="9"/>
        <v>49237553.504404657</v>
      </c>
      <c r="R11" s="61">
        <f t="shared" si="10"/>
        <v>132572671.48179153</v>
      </c>
      <c r="S11" s="61">
        <f t="shared" si="0"/>
        <v>3583</v>
      </c>
      <c r="T11" s="61">
        <v>3583</v>
      </c>
      <c r="U11" s="61">
        <v>1091</v>
      </c>
      <c r="V11" s="61">
        <v>50</v>
      </c>
      <c r="W11" s="61">
        <v>1016</v>
      </c>
      <c r="X11" s="61"/>
      <c r="Y11" s="61"/>
      <c r="Z11" s="61"/>
      <c r="AA11" s="61"/>
      <c r="AB11" s="61"/>
      <c r="AC11" s="61"/>
      <c r="AD11" s="61">
        <v>5288</v>
      </c>
      <c r="AE11" s="61">
        <v>12974</v>
      </c>
      <c r="AF11" s="61">
        <v>2319</v>
      </c>
      <c r="AG11" s="61">
        <v>1704</v>
      </c>
      <c r="AH11" s="61">
        <v>1512</v>
      </c>
      <c r="AI11" s="61"/>
      <c r="AJ11" s="61"/>
      <c r="AK11" s="61"/>
      <c r="AL11" s="61">
        <v>192</v>
      </c>
      <c r="AM11" s="61"/>
      <c r="AN11" s="61"/>
      <c r="AO11" s="61">
        <v>0</v>
      </c>
      <c r="AP11" s="61">
        <v>0</v>
      </c>
      <c r="AQ11" s="61">
        <v>615</v>
      </c>
      <c r="AR11" s="61">
        <v>14238</v>
      </c>
      <c r="AS11" s="61">
        <v>11733</v>
      </c>
      <c r="AT11" s="61">
        <v>8795.4</v>
      </c>
      <c r="AU11" s="61">
        <v>2937.6</v>
      </c>
      <c r="AV11" s="61">
        <v>2505</v>
      </c>
      <c r="AW11" s="65">
        <v>1789</v>
      </c>
      <c r="AX11">
        <f t="shared" si="11"/>
        <v>1.7889999999999999</v>
      </c>
      <c r="AY11" s="78">
        <f t="shared" si="12"/>
        <v>1.789E-8</v>
      </c>
    </row>
    <row r="12" spans="1:51" x14ac:dyDescent="0.25">
      <c r="A12" s="57"/>
      <c r="B12" s="58" t="s">
        <v>107</v>
      </c>
      <c r="C12" s="55"/>
      <c r="D12" s="59" t="s">
        <v>109</v>
      </c>
      <c r="E12" s="59">
        <v>1000000000</v>
      </c>
      <c r="F12" s="60">
        <v>1.0000000000000001E-11</v>
      </c>
      <c r="G12" s="61">
        <v>5896</v>
      </c>
      <c r="H12" s="61">
        <f t="shared" si="1"/>
        <v>58.960000000000008</v>
      </c>
      <c r="I12" s="146">
        <f t="shared" si="2"/>
        <v>1.8249999999999998E-8</v>
      </c>
      <c r="J12" s="61">
        <f t="shared" si="3"/>
        <v>3230684931.5068502</v>
      </c>
      <c r="K12" s="61">
        <f t="shared" si="4"/>
        <v>35.510000000000005</v>
      </c>
      <c r="L12" s="61">
        <f t="shared" si="5"/>
        <v>72.290000000000006</v>
      </c>
      <c r="M12" s="61">
        <f t="shared" si="6"/>
        <v>154.53000000000003</v>
      </c>
      <c r="N12" s="80">
        <v>1.1361030000000001E-6</v>
      </c>
      <c r="O12" s="80">
        <f t="shared" si="7"/>
        <v>1.606368436664633E-2</v>
      </c>
      <c r="P12" s="61">
        <f t="shared" si="8"/>
        <v>31255968.869019799</v>
      </c>
      <c r="Q12" s="61">
        <f t="shared" si="9"/>
        <v>63629794.129581563</v>
      </c>
      <c r="R12" s="61">
        <f t="shared" si="10"/>
        <v>136017596.99604702</v>
      </c>
      <c r="S12" s="61">
        <f t="shared" si="0"/>
        <v>3551</v>
      </c>
      <c r="T12" s="61">
        <v>3551</v>
      </c>
      <c r="U12" s="61">
        <v>1236</v>
      </c>
      <c r="V12" s="61">
        <v>195</v>
      </c>
      <c r="W12" s="61">
        <v>1016</v>
      </c>
      <c r="X12" s="61"/>
      <c r="Y12" s="61"/>
      <c r="Z12" s="61"/>
      <c r="AA12" s="61"/>
      <c r="AB12" s="61"/>
      <c r="AC12" s="61"/>
      <c r="AD12" s="61">
        <v>7229</v>
      </c>
      <c r="AE12" s="61">
        <v>13125</v>
      </c>
      <c r="AF12" s="61">
        <v>1223</v>
      </c>
      <c r="AG12" s="61">
        <v>465</v>
      </c>
      <c r="AH12" s="61">
        <v>194</v>
      </c>
      <c r="AI12" s="61"/>
      <c r="AJ12" s="61"/>
      <c r="AK12" s="61"/>
      <c r="AL12" s="61">
        <v>271</v>
      </c>
      <c r="AM12" s="61"/>
      <c r="AN12" s="61"/>
      <c r="AO12" s="61">
        <v>0</v>
      </c>
      <c r="AP12" s="61">
        <v>0</v>
      </c>
      <c r="AQ12" s="61">
        <v>758</v>
      </c>
      <c r="AR12" s="61">
        <v>15453</v>
      </c>
      <c r="AS12" s="61">
        <v>12146</v>
      </c>
      <c r="AT12" s="61">
        <v>9202.7000000000007</v>
      </c>
      <c r="AU12" s="61">
        <v>2943.3</v>
      </c>
      <c r="AV12" s="61">
        <v>3307</v>
      </c>
      <c r="AW12" s="65">
        <v>1825</v>
      </c>
      <c r="AX12">
        <f t="shared" si="11"/>
        <v>1.825</v>
      </c>
      <c r="AY12" s="78">
        <f t="shared" si="12"/>
        <v>1.8249999999999998E-8</v>
      </c>
    </row>
    <row r="13" spans="1:51" x14ac:dyDescent="0.25">
      <c r="A13" s="57"/>
      <c r="B13" s="58" t="s">
        <v>96</v>
      </c>
      <c r="C13" s="55"/>
      <c r="D13" s="59" t="s">
        <v>109</v>
      </c>
      <c r="E13" s="59">
        <v>1000000000</v>
      </c>
      <c r="F13" s="60">
        <v>1.0000000000000001E-11</v>
      </c>
      <c r="G13" s="61">
        <v>5275</v>
      </c>
      <c r="H13" s="61">
        <f t="shared" si="1"/>
        <v>52.750000000000007</v>
      </c>
      <c r="I13" s="146">
        <f t="shared" si="2"/>
        <v>1.8580000000000002E-8</v>
      </c>
      <c r="J13" s="61">
        <f t="shared" si="3"/>
        <v>2839074273.4122715</v>
      </c>
      <c r="K13" s="61">
        <f t="shared" si="4"/>
        <v>44.49</v>
      </c>
      <c r="L13" s="61">
        <f t="shared" si="5"/>
        <v>75.500000000000014</v>
      </c>
      <c r="M13" s="61">
        <f t="shared" si="6"/>
        <v>158.82000000000002</v>
      </c>
      <c r="N13" s="80">
        <v>1.201289E-6</v>
      </c>
      <c r="O13" s="80">
        <f t="shared" si="7"/>
        <v>1.5466719498805036E-2</v>
      </c>
      <c r="P13" s="61">
        <f t="shared" si="8"/>
        <v>37035218.003328092</v>
      </c>
      <c r="Q13" s="61">
        <f t="shared" si="9"/>
        <v>62849156.198050611</v>
      </c>
      <c r="R13" s="61">
        <f t="shared" si="10"/>
        <v>132207986.58774036</v>
      </c>
      <c r="S13" s="61">
        <f t="shared" si="0"/>
        <v>4449</v>
      </c>
      <c r="T13" s="61">
        <v>4449</v>
      </c>
      <c r="U13" s="61">
        <v>2319</v>
      </c>
      <c r="V13" s="61">
        <v>1270</v>
      </c>
      <c r="W13" s="61">
        <v>1015</v>
      </c>
      <c r="X13" s="61"/>
      <c r="Y13" s="61"/>
      <c r="Z13" s="61"/>
      <c r="AA13" s="61"/>
      <c r="AB13" s="61"/>
      <c r="AC13" s="61"/>
      <c r="AD13" s="61">
        <v>7550</v>
      </c>
      <c r="AE13" s="61">
        <v>12825</v>
      </c>
      <c r="AF13" s="61">
        <v>1392</v>
      </c>
      <c r="AG13" s="61">
        <v>293</v>
      </c>
      <c r="AH13" s="61">
        <v>24</v>
      </c>
      <c r="AI13" s="61"/>
      <c r="AJ13" s="61"/>
      <c r="AK13" s="61"/>
      <c r="AL13" s="61">
        <v>269</v>
      </c>
      <c r="AM13" s="61"/>
      <c r="AN13" s="61"/>
      <c r="AO13" s="61">
        <v>0</v>
      </c>
      <c r="AP13" s="61">
        <v>0</v>
      </c>
      <c r="AQ13" s="61">
        <v>1099</v>
      </c>
      <c r="AR13" s="61">
        <v>15882</v>
      </c>
      <c r="AS13" s="61">
        <v>13409</v>
      </c>
      <c r="AT13" s="61">
        <v>9860.5</v>
      </c>
      <c r="AU13" s="61">
        <v>3548.5</v>
      </c>
      <c r="AV13" s="61">
        <v>2473</v>
      </c>
      <c r="AW13" s="65">
        <v>1858</v>
      </c>
      <c r="AX13">
        <f t="shared" si="11"/>
        <v>1.8580000000000001</v>
      </c>
      <c r="AY13" s="78">
        <f t="shared" si="12"/>
        <v>1.8580000000000002E-8</v>
      </c>
    </row>
    <row r="14" spans="1:51" x14ac:dyDescent="0.25">
      <c r="A14" s="57"/>
      <c r="B14" s="58" t="s">
        <v>97</v>
      </c>
      <c r="C14" s="55"/>
      <c r="D14" s="59" t="s">
        <v>109</v>
      </c>
      <c r="E14" s="59">
        <v>1000000000</v>
      </c>
      <c r="F14" s="60">
        <v>1.0000000000000001E-11</v>
      </c>
      <c r="G14" s="61">
        <v>7005</v>
      </c>
      <c r="H14" s="61">
        <f t="shared" si="1"/>
        <v>70.050000000000011</v>
      </c>
      <c r="I14" s="146">
        <f t="shared" si="2"/>
        <v>1.8879999999999998E-8</v>
      </c>
      <c r="J14" s="61">
        <f t="shared" si="3"/>
        <v>3710275423.7288146</v>
      </c>
      <c r="K14" s="61">
        <f t="shared" si="4"/>
        <v>64.660000000000011</v>
      </c>
      <c r="L14" s="61">
        <f t="shared" si="5"/>
        <v>84.600000000000009</v>
      </c>
      <c r="M14" s="61">
        <f t="shared" si="6"/>
        <v>200.45000000000002</v>
      </c>
      <c r="N14" s="80">
        <v>1.2562350000000001E-6</v>
      </c>
      <c r="O14" s="80">
        <f t="shared" si="7"/>
        <v>1.5029035172559272E-2</v>
      </c>
      <c r="P14" s="61">
        <f t="shared" si="8"/>
        <v>51471261.348394215</v>
      </c>
      <c r="Q14" s="61">
        <f t="shared" si="9"/>
        <v>67344087.690599293</v>
      </c>
      <c r="R14" s="61">
        <f t="shared" si="10"/>
        <v>159564094.29764336</v>
      </c>
      <c r="S14" s="61">
        <f t="shared" si="0"/>
        <v>6466</v>
      </c>
      <c r="T14" s="61">
        <v>6466</v>
      </c>
      <c r="U14" s="61">
        <v>4499</v>
      </c>
      <c r="V14" s="61">
        <v>3436</v>
      </c>
      <c r="W14" s="61">
        <v>1014</v>
      </c>
      <c r="X14" s="61"/>
      <c r="Y14" s="61"/>
      <c r="Z14" s="61"/>
      <c r="AA14" s="61"/>
      <c r="AB14" s="61"/>
      <c r="AC14" s="61"/>
      <c r="AD14" s="61">
        <v>8460</v>
      </c>
      <c r="AE14" s="61">
        <v>15465</v>
      </c>
      <c r="AF14" s="61">
        <v>1886</v>
      </c>
      <c r="AG14" s="61">
        <v>404</v>
      </c>
      <c r="AH14" s="61">
        <v>124</v>
      </c>
      <c r="AI14" s="61"/>
      <c r="AJ14" s="61"/>
      <c r="AK14" s="61"/>
      <c r="AL14" s="61">
        <v>280</v>
      </c>
      <c r="AM14" s="61"/>
      <c r="AN14" s="61"/>
      <c r="AO14" s="61">
        <v>0</v>
      </c>
      <c r="AP14" s="61">
        <v>0</v>
      </c>
      <c r="AQ14" s="61">
        <v>1482</v>
      </c>
      <c r="AR14" s="61">
        <v>20045</v>
      </c>
      <c r="AS14" s="61">
        <v>13871</v>
      </c>
      <c r="AT14" s="61">
        <v>9893.7999999999993</v>
      </c>
      <c r="AU14" s="61">
        <v>3977.2</v>
      </c>
      <c r="AV14" s="61">
        <v>6174</v>
      </c>
      <c r="AW14" s="65">
        <v>1888</v>
      </c>
      <c r="AX14">
        <f t="shared" si="11"/>
        <v>1.8879999999999999</v>
      </c>
      <c r="AY14" s="78">
        <f t="shared" si="12"/>
        <v>1.8879999999999998E-8</v>
      </c>
    </row>
    <row r="15" spans="1:51" x14ac:dyDescent="0.25">
      <c r="A15" s="57"/>
      <c r="B15" s="58" t="s">
        <v>98</v>
      </c>
      <c r="C15" s="55"/>
      <c r="D15" s="59" t="s">
        <v>109</v>
      </c>
      <c r="E15" s="59">
        <v>1000000000</v>
      </c>
      <c r="F15" s="60">
        <v>1.0000000000000001E-11</v>
      </c>
      <c r="G15" s="61">
        <v>7351</v>
      </c>
      <c r="H15" s="61">
        <f t="shared" si="1"/>
        <v>73.510000000000005</v>
      </c>
      <c r="I15" s="146">
        <f t="shared" si="2"/>
        <v>1.9139999999999998E-8</v>
      </c>
      <c r="J15" s="61">
        <f t="shared" si="3"/>
        <v>3840647857.8892379</v>
      </c>
      <c r="K15" s="61">
        <f t="shared" si="4"/>
        <v>43.110000000000007</v>
      </c>
      <c r="L15" s="61">
        <f t="shared" si="5"/>
        <v>79.2</v>
      </c>
      <c r="M15" s="61">
        <f t="shared" si="6"/>
        <v>171.99</v>
      </c>
      <c r="N15" s="80">
        <v>1.299224E-6</v>
      </c>
      <c r="O15" s="80">
        <f t="shared" si="7"/>
        <v>1.4731870716673952E-2</v>
      </c>
      <c r="P15" s="61">
        <f t="shared" si="8"/>
        <v>33181345.172195099</v>
      </c>
      <c r="Q15" s="61">
        <f t="shared" si="9"/>
        <v>60959465.034512907</v>
      </c>
      <c r="R15" s="61">
        <f t="shared" si="10"/>
        <v>132379020.09199338</v>
      </c>
      <c r="S15" s="61">
        <f t="shared" si="0"/>
        <v>4311</v>
      </c>
      <c r="T15" s="61">
        <v>4311</v>
      </c>
      <c r="U15" s="61">
        <v>2494</v>
      </c>
      <c r="V15" s="61">
        <v>1409</v>
      </c>
      <c r="W15" s="61">
        <v>1014</v>
      </c>
      <c r="X15" s="61"/>
      <c r="Y15" s="61"/>
      <c r="Z15" s="61"/>
      <c r="AA15" s="61"/>
      <c r="AB15" s="61"/>
      <c r="AC15" s="61"/>
      <c r="AD15" s="61">
        <v>7920</v>
      </c>
      <c r="AE15" s="61">
        <v>15271</v>
      </c>
      <c r="AF15" s="61">
        <v>2383</v>
      </c>
      <c r="AG15" s="61">
        <v>463</v>
      </c>
      <c r="AH15" s="61">
        <v>161</v>
      </c>
      <c r="AI15" s="61"/>
      <c r="AJ15" s="61"/>
      <c r="AK15" s="61"/>
      <c r="AL15" s="61">
        <v>302</v>
      </c>
      <c r="AM15" s="61"/>
      <c r="AN15" s="61"/>
      <c r="AO15" s="61">
        <v>0</v>
      </c>
      <c r="AP15" s="61">
        <v>0</v>
      </c>
      <c r="AQ15" s="61">
        <v>1920</v>
      </c>
      <c r="AR15" s="61">
        <v>17199</v>
      </c>
      <c r="AS15" s="61">
        <v>13721</v>
      </c>
      <c r="AT15" s="61">
        <v>10508.3</v>
      </c>
      <c r="AU15" s="61">
        <v>3212.7</v>
      </c>
      <c r="AV15" s="61">
        <v>3478</v>
      </c>
      <c r="AW15" s="65">
        <v>1914</v>
      </c>
      <c r="AX15">
        <f t="shared" si="11"/>
        <v>1.9139999999999999</v>
      </c>
      <c r="AY15" s="78">
        <f t="shared" si="12"/>
        <v>1.9139999999999998E-8</v>
      </c>
    </row>
    <row r="16" spans="1:51" x14ac:dyDescent="0.25">
      <c r="A16" s="57"/>
      <c r="B16" s="58" t="s">
        <v>99</v>
      </c>
      <c r="C16" s="55"/>
      <c r="D16" s="59" t="s">
        <v>109</v>
      </c>
      <c r="E16" s="59">
        <v>1000000000</v>
      </c>
      <c r="F16" s="60">
        <v>1.0000000000000001E-11</v>
      </c>
      <c r="G16" s="61">
        <v>5574</v>
      </c>
      <c r="H16" s="61">
        <f t="shared" si="1"/>
        <v>55.740000000000009</v>
      </c>
      <c r="I16" s="146">
        <f t="shared" si="2"/>
        <v>1.9370000000000001E-8</v>
      </c>
      <c r="J16" s="61">
        <f t="shared" si="3"/>
        <v>2877645844.0887976</v>
      </c>
      <c r="K16" s="61">
        <f t="shared" si="4"/>
        <v>70.050000000000011</v>
      </c>
      <c r="L16" s="61">
        <f t="shared" si="5"/>
        <v>79.640000000000015</v>
      </c>
      <c r="M16" s="61">
        <f t="shared" si="6"/>
        <v>184.13000000000002</v>
      </c>
      <c r="N16" s="80">
        <v>1.3582599999999999E-6</v>
      </c>
      <c r="O16" s="80">
        <f t="shared" si="7"/>
        <v>1.4260892612607308E-2</v>
      </c>
      <c r="P16" s="61">
        <f t="shared" si="8"/>
        <v>51573336.474607229</v>
      </c>
      <c r="Q16" s="61">
        <f t="shared" si="9"/>
        <v>58633840.354571305</v>
      </c>
      <c r="R16" s="61">
        <f t="shared" si="10"/>
        <v>135563146.96744367</v>
      </c>
      <c r="S16" s="61">
        <f t="shared" si="0"/>
        <v>7005</v>
      </c>
      <c r="T16" s="61">
        <v>7005</v>
      </c>
      <c r="U16" s="61">
        <v>5298</v>
      </c>
      <c r="V16" s="61">
        <v>4208</v>
      </c>
      <c r="W16" s="61">
        <v>1010</v>
      </c>
      <c r="X16" s="61"/>
      <c r="Y16" s="61"/>
      <c r="Z16" s="61"/>
      <c r="AA16" s="61"/>
      <c r="AB16" s="61"/>
      <c r="AC16" s="61"/>
      <c r="AD16" s="61">
        <v>7964</v>
      </c>
      <c r="AE16" s="61">
        <v>13538</v>
      </c>
      <c r="AF16" s="61">
        <v>2130</v>
      </c>
      <c r="AG16" s="61">
        <v>398</v>
      </c>
      <c r="AH16" s="61">
        <v>109</v>
      </c>
      <c r="AI16" s="61"/>
      <c r="AJ16" s="61"/>
      <c r="AK16" s="61"/>
      <c r="AL16" s="61">
        <v>289</v>
      </c>
      <c r="AM16" s="61"/>
      <c r="AN16" s="61"/>
      <c r="AO16" s="61">
        <v>0</v>
      </c>
      <c r="AP16" s="61">
        <v>0</v>
      </c>
      <c r="AQ16" s="61">
        <v>1732</v>
      </c>
      <c r="AR16" s="61">
        <v>18413</v>
      </c>
      <c r="AS16" s="61">
        <v>14802</v>
      </c>
      <c r="AT16" s="61">
        <v>10877.5</v>
      </c>
      <c r="AU16" s="61">
        <v>3924.5</v>
      </c>
      <c r="AV16" s="61">
        <v>3611</v>
      </c>
      <c r="AW16" s="65">
        <v>1937</v>
      </c>
      <c r="AX16">
        <f t="shared" si="11"/>
        <v>1.9370000000000001</v>
      </c>
      <c r="AY16" s="78">
        <f t="shared" si="12"/>
        <v>1.9370000000000001E-8</v>
      </c>
    </row>
    <row r="17" spans="1:55" x14ac:dyDescent="0.25">
      <c r="A17" s="57"/>
      <c r="B17" s="58" t="s">
        <v>100</v>
      </c>
      <c r="C17" s="55"/>
      <c r="D17" s="59" t="s">
        <v>109</v>
      </c>
      <c r="E17" s="59">
        <v>1000000000</v>
      </c>
      <c r="F17" s="60">
        <v>1.0000000000000001E-11</v>
      </c>
      <c r="G17" s="61">
        <v>4359</v>
      </c>
      <c r="H17" s="61">
        <f t="shared" si="1"/>
        <v>43.59</v>
      </c>
      <c r="I17" s="146">
        <f t="shared" si="2"/>
        <v>1.9560000000000001E-8</v>
      </c>
      <c r="J17" s="61">
        <f t="shared" si="3"/>
        <v>2228527607.3619633</v>
      </c>
      <c r="K17" s="61">
        <f t="shared" si="4"/>
        <v>90.18</v>
      </c>
      <c r="L17" s="61">
        <f t="shared" si="5"/>
        <v>81.470000000000013</v>
      </c>
      <c r="M17" s="61">
        <f t="shared" si="6"/>
        <v>192.82000000000002</v>
      </c>
      <c r="N17" s="80">
        <v>1.4616900000000001E-6</v>
      </c>
      <c r="O17" s="80">
        <f t="shared" si="7"/>
        <v>1.3381770416435769E-2</v>
      </c>
      <c r="P17" s="61">
        <f t="shared" si="8"/>
        <v>61695708.392340377</v>
      </c>
      <c r="Q17" s="61">
        <f t="shared" si="9"/>
        <v>55736852.547393776</v>
      </c>
      <c r="R17" s="61">
        <f t="shared" si="10"/>
        <v>131915796.09903605</v>
      </c>
      <c r="S17" s="61">
        <f t="shared" si="0"/>
        <v>9018</v>
      </c>
      <c r="T17" s="61">
        <v>9018</v>
      </c>
      <c r="U17" s="61">
        <v>7462</v>
      </c>
      <c r="V17" s="61">
        <v>5332</v>
      </c>
      <c r="W17" s="61">
        <v>2010</v>
      </c>
      <c r="X17" s="61"/>
      <c r="Y17" s="61"/>
      <c r="Z17" s="61"/>
      <c r="AA17" s="61"/>
      <c r="AB17" s="61"/>
      <c r="AC17" s="61"/>
      <c r="AD17" s="61">
        <v>8147</v>
      </c>
      <c r="AE17" s="61">
        <v>12506</v>
      </c>
      <c r="AF17" s="61">
        <v>2242</v>
      </c>
      <c r="AG17" s="61">
        <v>443</v>
      </c>
      <c r="AH17" s="61">
        <v>115</v>
      </c>
      <c r="AI17" s="61"/>
      <c r="AJ17" s="61"/>
      <c r="AK17" s="61"/>
      <c r="AL17" s="61">
        <v>328</v>
      </c>
      <c r="AM17" s="61"/>
      <c r="AN17" s="61"/>
      <c r="AO17" s="61">
        <v>0</v>
      </c>
      <c r="AP17" s="61">
        <v>0</v>
      </c>
      <c r="AQ17" s="61">
        <v>1799</v>
      </c>
      <c r="AR17" s="61">
        <v>19282</v>
      </c>
      <c r="AS17" s="61">
        <v>14898</v>
      </c>
      <c r="AT17" s="61">
        <v>11431.4</v>
      </c>
      <c r="AU17" s="61">
        <v>3466.6</v>
      </c>
      <c r="AV17" s="61">
        <v>4384</v>
      </c>
      <c r="AW17" s="65">
        <v>1956</v>
      </c>
      <c r="AX17">
        <f t="shared" si="11"/>
        <v>1.956</v>
      </c>
      <c r="AY17" s="78">
        <f t="shared" si="12"/>
        <v>1.9560000000000001E-8</v>
      </c>
    </row>
    <row r="18" spans="1:55" x14ac:dyDescent="0.25">
      <c r="A18" s="57"/>
      <c r="B18" s="58" t="s">
        <v>101</v>
      </c>
      <c r="C18" s="55"/>
      <c r="D18" s="59" t="s">
        <v>109</v>
      </c>
      <c r="E18" s="59">
        <v>1000000000</v>
      </c>
      <c r="F18" s="60">
        <v>1.0000000000000001E-11</v>
      </c>
      <c r="G18" s="61">
        <v>2766</v>
      </c>
      <c r="H18" s="61">
        <f t="shared" si="1"/>
        <v>27.660000000000004</v>
      </c>
      <c r="I18" s="146">
        <f t="shared" si="2"/>
        <v>1.976E-8</v>
      </c>
      <c r="J18" s="61">
        <f t="shared" si="3"/>
        <v>1399797570.8502026</v>
      </c>
      <c r="K18" s="61">
        <f t="shared" si="4"/>
        <v>96.59</v>
      </c>
      <c r="L18" s="61">
        <f t="shared" si="5"/>
        <v>94.360000000000014</v>
      </c>
      <c r="M18" s="61">
        <f t="shared" si="6"/>
        <v>192.49</v>
      </c>
      <c r="N18" s="80">
        <v>1.5300599999999999E-6</v>
      </c>
      <c r="O18" s="80">
        <f t="shared" si="7"/>
        <v>1.2914526227729631E-2</v>
      </c>
      <c r="P18" s="61">
        <f t="shared" si="8"/>
        <v>63128243.336862609</v>
      </c>
      <c r="Q18" s="61">
        <f t="shared" si="9"/>
        <v>61670784.152255476</v>
      </c>
      <c r="R18" s="61">
        <f t="shared" si="10"/>
        <v>125805523.96638042</v>
      </c>
      <c r="S18" s="61">
        <f t="shared" si="0"/>
        <v>9659</v>
      </c>
      <c r="T18" s="61">
        <v>9659</v>
      </c>
      <c r="U18" s="61">
        <v>8267</v>
      </c>
      <c r="V18" s="61">
        <v>6104</v>
      </c>
      <c r="W18" s="61">
        <v>2010</v>
      </c>
      <c r="X18" s="61"/>
      <c r="Y18" s="61"/>
      <c r="Z18" s="61"/>
      <c r="AA18" s="61"/>
      <c r="AB18" s="61"/>
      <c r="AC18" s="61"/>
      <c r="AD18" s="61">
        <v>9436</v>
      </c>
      <c r="AE18" s="61">
        <v>12202</v>
      </c>
      <c r="AF18" s="61">
        <v>2612</v>
      </c>
      <c r="AG18" s="61">
        <v>666</v>
      </c>
      <c r="AH18" s="61">
        <v>368</v>
      </c>
      <c r="AI18" s="61"/>
      <c r="AJ18" s="61"/>
      <c r="AK18" s="61"/>
      <c r="AL18" s="61">
        <v>298</v>
      </c>
      <c r="AM18" s="61"/>
      <c r="AN18" s="61"/>
      <c r="AO18" s="61">
        <v>0</v>
      </c>
      <c r="AP18" s="61">
        <v>0</v>
      </c>
      <c r="AQ18" s="61">
        <v>1946</v>
      </c>
      <c r="AR18" s="61">
        <v>19249</v>
      </c>
      <c r="AS18" s="61">
        <v>16399</v>
      </c>
      <c r="AT18" s="61">
        <v>12517.7</v>
      </c>
      <c r="AU18" s="61">
        <v>3881.3</v>
      </c>
      <c r="AV18" s="61">
        <v>2850</v>
      </c>
      <c r="AW18" s="65">
        <v>1976</v>
      </c>
      <c r="AX18">
        <f t="shared" si="11"/>
        <v>1.976</v>
      </c>
      <c r="AY18" s="78">
        <f t="shared" si="12"/>
        <v>1.976E-8</v>
      </c>
    </row>
    <row r="19" spans="1:55" x14ac:dyDescent="0.25">
      <c r="A19" s="57"/>
      <c r="B19" s="58" t="s">
        <v>102</v>
      </c>
      <c r="C19" s="55"/>
      <c r="D19" s="59" t="s">
        <v>109</v>
      </c>
      <c r="E19" s="59">
        <v>1000000000</v>
      </c>
      <c r="F19" s="60">
        <v>1.0000000000000001E-11</v>
      </c>
      <c r="G19" s="61">
        <v>1648</v>
      </c>
      <c r="H19" s="61">
        <f t="shared" si="1"/>
        <v>16.48</v>
      </c>
      <c r="I19" s="146">
        <f t="shared" si="2"/>
        <v>1.9960000000000001E-8</v>
      </c>
      <c r="J19" s="61">
        <f t="shared" si="3"/>
        <v>825651302.60521042</v>
      </c>
      <c r="K19" s="61">
        <f t="shared" si="4"/>
        <v>124.01000000000002</v>
      </c>
      <c r="L19" s="61">
        <f t="shared" si="5"/>
        <v>118.24000000000001</v>
      </c>
      <c r="M19" s="61">
        <f t="shared" si="6"/>
        <v>235.93000000000004</v>
      </c>
      <c r="N19" s="80">
        <v>1.5884089999999999E-6</v>
      </c>
      <c r="O19" s="80">
        <f t="shared" si="7"/>
        <v>1.2566033055718018E-2</v>
      </c>
      <c r="P19" s="61">
        <f t="shared" si="8"/>
        <v>78071831.625230044</v>
      </c>
      <c r="Q19" s="61">
        <f t="shared" si="9"/>
        <v>74439265.957319573</v>
      </c>
      <c r="R19" s="61">
        <f t="shared" si="10"/>
        <v>148532273.48875514</v>
      </c>
      <c r="S19" s="61">
        <f t="shared" si="0"/>
        <v>12401</v>
      </c>
      <c r="T19" s="61">
        <v>12401</v>
      </c>
      <c r="U19" s="61">
        <v>11212</v>
      </c>
      <c r="V19" s="61">
        <v>5748</v>
      </c>
      <c r="W19" s="61">
        <v>5258</v>
      </c>
      <c r="X19" s="61"/>
      <c r="Y19" s="61"/>
      <c r="Z19" s="61"/>
      <c r="AA19" s="61"/>
      <c r="AB19" s="61"/>
      <c r="AC19" s="61"/>
      <c r="AD19" s="61">
        <v>11824</v>
      </c>
      <c r="AE19" s="61">
        <v>13472</v>
      </c>
      <c r="AF19" s="61">
        <v>2280</v>
      </c>
      <c r="AG19" s="61">
        <v>92</v>
      </c>
      <c r="AH19" s="61">
        <v>36</v>
      </c>
      <c r="AI19" s="61"/>
      <c r="AJ19" s="61"/>
      <c r="AK19" s="61"/>
      <c r="AL19" s="61">
        <v>56</v>
      </c>
      <c r="AM19" s="61"/>
      <c r="AN19" s="61"/>
      <c r="AO19" s="61">
        <v>0</v>
      </c>
      <c r="AP19" s="61">
        <v>0</v>
      </c>
      <c r="AQ19" s="61">
        <v>2188</v>
      </c>
      <c r="AR19" s="61">
        <v>23593</v>
      </c>
      <c r="AS19" s="61">
        <v>20492</v>
      </c>
      <c r="AT19" s="61">
        <v>16230.1</v>
      </c>
      <c r="AU19" s="61">
        <v>4261.8999999999996</v>
      </c>
      <c r="AV19" s="61">
        <v>3101</v>
      </c>
      <c r="AW19" s="65">
        <v>1996</v>
      </c>
      <c r="AX19">
        <f t="shared" si="11"/>
        <v>1.996</v>
      </c>
      <c r="AY19" s="78">
        <f t="shared" si="12"/>
        <v>1.9960000000000001E-8</v>
      </c>
      <c r="BA19" s="66">
        <v>1980</v>
      </c>
      <c r="BB19" s="67">
        <v>1.8493299999999999E-8</v>
      </c>
      <c r="BC19">
        <f>+BB19*100000000</f>
        <v>1.8493299999999999</v>
      </c>
    </row>
    <row r="20" spans="1:55" x14ac:dyDescent="0.25">
      <c r="A20" s="62">
        <v>1981.01</v>
      </c>
      <c r="B20" s="58" t="s">
        <v>103</v>
      </c>
      <c r="C20" s="55"/>
      <c r="D20" s="59" t="s">
        <v>109</v>
      </c>
      <c r="E20" s="59">
        <v>1000000000</v>
      </c>
      <c r="F20" s="60">
        <v>1.0000000000000001E-11</v>
      </c>
      <c r="G20" s="61">
        <v>-198</v>
      </c>
      <c r="H20" s="61">
        <f t="shared" si="1"/>
        <v>-1.9800000000000002</v>
      </c>
      <c r="I20" s="146">
        <f t="shared" si="2"/>
        <v>2.0259999999999997E-8</v>
      </c>
      <c r="J20" s="61">
        <f t="shared" si="3"/>
        <v>-97729516.288252741</v>
      </c>
      <c r="K20" s="61">
        <f t="shared" si="4"/>
        <v>120.50000000000001</v>
      </c>
      <c r="L20" s="61">
        <f t="shared" si="5"/>
        <v>128.49</v>
      </c>
      <c r="M20" s="61">
        <f t="shared" si="6"/>
        <v>220.42000000000002</v>
      </c>
      <c r="N20" s="81">
        <v>1.6662E-6</v>
      </c>
      <c r="O20" s="80">
        <f t="shared" si="7"/>
        <v>1.2159404633297321E-2</v>
      </c>
      <c r="P20" s="61">
        <f t="shared" si="8"/>
        <v>72320249.669907585</v>
      </c>
      <c r="Q20" s="61">
        <f t="shared" si="9"/>
        <v>77115592.365862444</v>
      </c>
      <c r="R20" s="61">
        <f t="shared" si="10"/>
        <v>132289040.93146081</v>
      </c>
      <c r="S20" s="61">
        <f t="shared" si="0"/>
        <v>12050</v>
      </c>
      <c r="T20" s="61">
        <v>12050</v>
      </c>
      <c r="U20" s="61">
        <v>11147</v>
      </c>
      <c r="V20" s="61">
        <v>5463</v>
      </c>
      <c r="W20" s="61">
        <v>5458</v>
      </c>
      <c r="X20" s="61"/>
      <c r="Y20" s="61"/>
      <c r="Z20" s="61"/>
      <c r="AA20" s="61"/>
      <c r="AB20" s="61"/>
      <c r="AC20" s="61"/>
      <c r="AD20" s="61">
        <v>12849</v>
      </c>
      <c r="AE20" s="61">
        <v>12651</v>
      </c>
      <c r="AF20" s="61">
        <v>2659</v>
      </c>
      <c r="AG20" s="61">
        <v>316</v>
      </c>
      <c r="AH20" s="61">
        <v>241</v>
      </c>
      <c r="AI20" s="61"/>
      <c r="AJ20" s="61"/>
      <c r="AK20" s="61"/>
      <c r="AL20" s="61">
        <v>75</v>
      </c>
      <c r="AM20" s="61"/>
      <c r="AN20" s="61"/>
      <c r="AO20" s="61">
        <v>0</v>
      </c>
      <c r="AP20" s="61">
        <v>0</v>
      </c>
      <c r="AQ20" s="61">
        <v>2343</v>
      </c>
      <c r="AR20" s="61">
        <v>22042</v>
      </c>
      <c r="AS20" s="61">
        <v>18985</v>
      </c>
      <c r="AT20" s="61">
        <v>15196</v>
      </c>
      <c r="AU20" s="61">
        <v>3789</v>
      </c>
      <c r="AV20" s="61">
        <v>3057</v>
      </c>
      <c r="AW20" s="65">
        <v>2026</v>
      </c>
      <c r="AX20">
        <f t="shared" si="11"/>
        <v>2.0259999999999998</v>
      </c>
      <c r="AY20" s="78">
        <f t="shared" si="12"/>
        <v>2.0259999999999997E-8</v>
      </c>
    </row>
    <row r="21" spans="1:55" x14ac:dyDescent="0.25">
      <c r="A21" s="57"/>
      <c r="B21" s="58" t="s">
        <v>104</v>
      </c>
      <c r="C21" s="55"/>
      <c r="D21" s="59" t="s">
        <v>109</v>
      </c>
      <c r="E21" s="59">
        <v>1000000000</v>
      </c>
      <c r="F21" s="60">
        <v>1.0000000000000001E-11</v>
      </c>
      <c r="G21" s="61">
        <v>-3163</v>
      </c>
      <c r="H21" s="61">
        <f t="shared" si="1"/>
        <v>-31.630000000000003</v>
      </c>
      <c r="I21" s="146">
        <f t="shared" si="2"/>
        <v>2.255E-8</v>
      </c>
      <c r="J21" s="61">
        <f t="shared" si="3"/>
        <v>-1402660753.8802662</v>
      </c>
      <c r="K21" s="61">
        <f t="shared" si="4"/>
        <v>160.32000000000002</v>
      </c>
      <c r="L21" s="61">
        <f t="shared" si="5"/>
        <v>148.26000000000002</v>
      </c>
      <c r="M21" s="61">
        <f t="shared" si="6"/>
        <v>243.97000000000003</v>
      </c>
      <c r="N21" s="81">
        <v>1.7358E-6</v>
      </c>
      <c r="O21" s="80">
        <f t="shared" si="7"/>
        <v>1.2991128010139416E-2</v>
      </c>
      <c r="P21" s="61">
        <f t="shared" si="8"/>
        <v>92360871.068095416</v>
      </c>
      <c r="Q21" s="61">
        <f t="shared" si="9"/>
        <v>85413066.021431059</v>
      </c>
      <c r="R21" s="61">
        <f t="shared" si="10"/>
        <v>140551906.9017168</v>
      </c>
      <c r="S21" s="61">
        <f t="shared" si="0"/>
        <v>16032</v>
      </c>
      <c r="T21" s="61">
        <v>16032</v>
      </c>
      <c r="U21" s="61">
        <v>15394</v>
      </c>
      <c r="V21" s="61">
        <v>6490</v>
      </c>
      <c r="W21" s="61">
        <v>8621</v>
      </c>
      <c r="X21" s="61"/>
      <c r="Y21" s="61"/>
      <c r="Z21" s="61"/>
      <c r="AA21" s="61"/>
      <c r="AB21" s="61"/>
      <c r="AC21" s="61"/>
      <c r="AD21" s="61">
        <v>14826</v>
      </c>
      <c r="AE21" s="61">
        <v>11663</v>
      </c>
      <c r="AF21" s="61">
        <v>3298</v>
      </c>
      <c r="AG21" s="61">
        <v>333</v>
      </c>
      <c r="AH21" s="61">
        <v>233</v>
      </c>
      <c r="AI21" s="61"/>
      <c r="AJ21" s="61"/>
      <c r="AK21" s="61"/>
      <c r="AL21" s="61">
        <v>100</v>
      </c>
      <c r="AM21" s="61"/>
      <c r="AN21" s="61"/>
      <c r="AO21" s="61">
        <v>0</v>
      </c>
      <c r="AP21" s="61">
        <v>0</v>
      </c>
      <c r="AQ21" s="61">
        <v>2965</v>
      </c>
      <c r="AR21" s="61">
        <v>24397</v>
      </c>
      <c r="AS21" s="61">
        <v>19153</v>
      </c>
      <c r="AT21" s="61">
        <v>14325</v>
      </c>
      <c r="AU21" s="61">
        <v>4828</v>
      </c>
      <c r="AV21" s="61">
        <v>5244</v>
      </c>
      <c r="AW21" s="65">
        <v>2255</v>
      </c>
      <c r="AX21">
        <f t="shared" si="11"/>
        <v>2.2549999999999999</v>
      </c>
      <c r="AY21" s="78">
        <f t="shared" si="12"/>
        <v>2.255E-8</v>
      </c>
    </row>
    <row r="22" spans="1:55" x14ac:dyDescent="0.25">
      <c r="A22" s="57"/>
      <c r="B22" s="58" t="s">
        <v>105</v>
      </c>
      <c r="C22" s="55"/>
      <c r="D22" s="59" t="s">
        <v>109</v>
      </c>
      <c r="E22" s="59">
        <v>1000000000</v>
      </c>
      <c r="F22" s="60">
        <v>1.0000000000000001E-11</v>
      </c>
      <c r="G22" s="61">
        <v>-5387</v>
      </c>
      <c r="H22" s="61">
        <f t="shared" si="1"/>
        <v>-53.870000000000005</v>
      </c>
      <c r="I22" s="146">
        <f t="shared" si="2"/>
        <v>2.363E-8</v>
      </c>
      <c r="J22" s="61">
        <f t="shared" si="3"/>
        <v>-2279729157.8501906</v>
      </c>
      <c r="K22" s="61">
        <f t="shared" si="4"/>
        <v>141.69000000000003</v>
      </c>
      <c r="L22" s="61">
        <f t="shared" si="5"/>
        <v>154.79000000000002</v>
      </c>
      <c r="M22" s="61">
        <f t="shared" si="6"/>
        <v>210.07000000000002</v>
      </c>
      <c r="N22" s="81">
        <v>1.8397999999999999E-6</v>
      </c>
      <c r="O22" s="80">
        <f t="shared" si="7"/>
        <v>1.2843787368192196E-2</v>
      </c>
      <c r="P22" s="61">
        <f t="shared" si="8"/>
        <v>77013805.848461807</v>
      </c>
      <c r="Q22" s="61">
        <f t="shared" si="9"/>
        <v>84134145.015762597</v>
      </c>
      <c r="R22" s="61">
        <f t="shared" si="10"/>
        <v>114180889.22708991</v>
      </c>
      <c r="S22" s="61">
        <f t="shared" si="0"/>
        <v>14169</v>
      </c>
      <c r="T22" s="61">
        <v>14169</v>
      </c>
      <c r="U22" s="61">
        <v>13726</v>
      </c>
      <c r="V22" s="61">
        <v>4378</v>
      </c>
      <c r="W22" s="61">
        <v>8987</v>
      </c>
      <c r="X22" s="61"/>
      <c r="Y22" s="61"/>
      <c r="Z22" s="61"/>
      <c r="AA22" s="61"/>
      <c r="AB22" s="61"/>
      <c r="AC22" s="61"/>
      <c r="AD22" s="61">
        <v>15479</v>
      </c>
      <c r="AE22" s="61">
        <v>10092</v>
      </c>
      <c r="AF22" s="61">
        <v>3254</v>
      </c>
      <c r="AG22" s="61">
        <v>127</v>
      </c>
      <c r="AH22" s="61">
        <v>35</v>
      </c>
      <c r="AI22" s="61"/>
      <c r="AJ22" s="61"/>
      <c r="AK22" s="61"/>
      <c r="AL22" s="61">
        <v>92</v>
      </c>
      <c r="AM22" s="61"/>
      <c r="AN22" s="61"/>
      <c r="AO22" s="61">
        <v>0</v>
      </c>
      <c r="AP22" s="61">
        <v>0</v>
      </c>
      <c r="AQ22" s="61">
        <v>3127</v>
      </c>
      <c r="AR22" s="61">
        <v>21007</v>
      </c>
      <c r="AS22" s="61">
        <v>17697</v>
      </c>
      <c r="AT22" s="61">
        <v>12987</v>
      </c>
      <c r="AU22" s="61">
        <v>4710</v>
      </c>
      <c r="AV22" s="61">
        <v>3310</v>
      </c>
      <c r="AW22" s="65">
        <v>2363</v>
      </c>
      <c r="AX22">
        <f t="shared" si="11"/>
        <v>2.363</v>
      </c>
      <c r="AY22" s="78">
        <f t="shared" si="12"/>
        <v>2.363E-8</v>
      </c>
    </row>
    <row r="23" spans="1:55" x14ac:dyDescent="0.25">
      <c r="A23" s="57"/>
      <c r="B23" s="58" t="s">
        <v>106</v>
      </c>
      <c r="C23" s="55"/>
      <c r="D23" s="59" t="s">
        <v>109</v>
      </c>
      <c r="E23" s="59">
        <v>1000000000</v>
      </c>
      <c r="F23" s="60">
        <v>1.0000000000000001E-11</v>
      </c>
      <c r="G23" s="61">
        <v>-1332</v>
      </c>
      <c r="H23" s="61">
        <f t="shared" si="1"/>
        <v>-13.320000000000002</v>
      </c>
      <c r="I23" s="146">
        <f t="shared" si="2"/>
        <v>3.1599999999999998E-8</v>
      </c>
      <c r="J23" s="61">
        <f t="shared" si="3"/>
        <v>-421518987.34177226</v>
      </c>
      <c r="K23" s="61">
        <f t="shared" si="4"/>
        <v>143.31</v>
      </c>
      <c r="L23" s="61">
        <f t="shared" si="5"/>
        <v>149.19000000000003</v>
      </c>
      <c r="M23" s="61">
        <f t="shared" si="6"/>
        <v>246.09000000000003</v>
      </c>
      <c r="N23" s="81">
        <v>1.9848999999999998E-6</v>
      </c>
      <c r="O23" s="80">
        <f t="shared" si="7"/>
        <v>1.5920197491057483E-2</v>
      </c>
      <c r="P23" s="61">
        <f t="shared" si="8"/>
        <v>72200110.83681798</v>
      </c>
      <c r="Q23" s="61">
        <f t="shared" si="9"/>
        <v>75162476.699078053</v>
      </c>
      <c r="R23" s="61">
        <f t="shared" si="10"/>
        <v>123981056.98020054</v>
      </c>
      <c r="S23" s="61">
        <f t="shared" si="0"/>
        <v>14331</v>
      </c>
      <c r="T23" s="61">
        <v>14331</v>
      </c>
      <c r="U23" s="61">
        <v>13915</v>
      </c>
      <c r="V23" s="61">
        <v>4503</v>
      </c>
      <c r="W23" s="61">
        <v>8983</v>
      </c>
      <c r="X23" s="61"/>
      <c r="Y23" s="61"/>
      <c r="Z23" s="61"/>
      <c r="AA23" s="61"/>
      <c r="AB23" s="61"/>
      <c r="AC23" s="61"/>
      <c r="AD23" s="61">
        <v>14919</v>
      </c>
      <c r="AE23" s="61">
        <v>13587</v>
      </c>
      <c r="AF23" s="61">
        <v>3309</v>
      </c>
      <c r="AG23" s="61">
        <v>231</v>
      </c>
      <c r="AH23" s="61">
        <v>171</v>
      </c>
      <c r="AI23" s="61"/>
      <c r="AJ23" s="61"/>
      <c r="AK23" s="61"/>
      <c r="AL23" s="61">
        <v>60</v>
      </c>
      <c r="AM23" s="61"/>
      <c r="AN23" s="61"/>
      <c r="AO23" s="61">
        <v>0</v>
      </c>
      <c r="AP23" s="61">
        <v>0</v>
      </c>
      <c r="AQ23" s="61">
        <v>3078</v>
      </c>
      <c r="AR23" s="61">
        <v>24609</v>
      </c>
      <c r="AS23" s="61">
        <v>19216</v>
      </c>
      <c r="AT23" s="61">
        <v>14440</v>
      </c>
      <c r="AU23" s="61">
        <v>4776</v>
      </c>
      <c r="AV23" s="61">
        <v>5393</v>
      </c>
      <c r="AW23" s="65">
        <v>3160</v>
      </c>
      <c r="AX23">
        <f t="shared" si="11"/>
        <v>3.16</v>
      </c>
      <c r="AY23" s="78">
        <f t="shared" si="12"/>
        <v>3.1599999999999998E-8</v>
      </c>
    </row>
    <row r="24" spans="1:55" x14ac:dyDescent="0.25">
      <c r="A24" s="57"/>
      <c r="B24" s="58" t="s">
        <v>107</v>
      </c>
      <c r="C24" s="55"/>
      <c r="D24" s="59" t="s">
        <v>109</v>
      </c>
      <c r="E24" s="59">
        <v>1000000000</v>
      </c>
      <c r="F24" s="60">
        <v>1.0000000000000001E-11</v>
      </c>
      <c r="G24" s="61">
        <v>-3997</v>
      </c>
      <c r="H24" s="61">
        <f t="shared" si="1"/>
        <v>-39.970000000000006</v>
      </c>
      <c r="I24" s="146">
        <f t="shared" si="2"/>
        <v>3.2740000000000001E-8</v>
      </c>
      <c r="J24" s="61">
        <f t="shared" si="3"/>
        <v>-1220830788.0268786</v>
      </c>
      <c r="K24" s="61">
        <f t="shared" si="4"/>
        <v>181.83</v>
      </c>
      <c r="L24" s="61">
        <f t="shared" si="5"/>
        <v>195.92000000000002</v>
      </c>
      <c r="M24" s="61">
        <f t="shared" si="6"/>
        <v>301.49</v>
      </c>
      <c r="N24" s="81">
        <v>2.1345000000000001E-6</v>
      </c>
      <c r="O24" s="80">
        <f t="shared" si="7"/>
        <v>1.5338486765050363E-2</v>
      </c>
      <c r="P24" s="61">
        <f t="shared" si="8"/>
        <v>85186226.282501757</v>
      </c>
      <c r="Q24" s="61">
        <f t="shared" si="9"/>
        <v>91787303.818224415</v>
      </c>
      <c r="R24" s="61">
        <f t="shared" si="10"/>
        <v>141246193.48793629</v>
      </c>
      <c r="S24" s="61">
        <f t="shared" si="0"/>
        <v>18183</v>
      </c>
      <c r="T24" s="61">
        <v>18183</v>
      </c>
      <c r="U24" s="61">
        <v>17786</v>
      </c>
      <c r="V24" s="61">
        <v>5418</v>
      </c>
      <c r="W24" s="61">
        <v>11880</v>
      </c>
      <c r="X24" s="61"/>
      <c r="Y24" s="61"/>
      <c r="Z24" s="61"/>
      <c r="AA24" s="61"/>
      <c r="AB24" s="61"/>
      <c r="AC24" s="61"/>
      <c r="AD24" s="61">
        <v>19592</v>
      </c>
      <c r="AE24" s="61">
        <v>15595</v>
      </c>
      <c r="AF24" s="61">
        <v>3629</v>
      </c>
      <c r="AG24" s="61">
        <v>154</v>
      </c>
      <c r="AH24" s="61">
        <v>98</v>
      </c>
      <c r="AI24" s="61"/>
      <c r="AJ24" s="61"/>
      <c r="AK24" s="61"/>
      <c r="AL24" s="61">
        <v>56</v>
      </c>
      <c r="AM24" s="61"/>
      <c r="AN24" s="61"/>
      <c r="AO24" s="61">
        <v>0</v>
      </c>
      <c r="AP24" s="61">
        <v>0</v>
      </c>
      <c r="AQ24" s="61">
        <v>3475</v>
      </c>
      <c r="AR24" s="61">
        <v>30149</v>
      </c>
      <c r="AS24" s="61">
        <v>20585</v>
      </c>
      <c r="AT24" s="61">
        <v>13888</v>
      </c>
      <c r="AU24" s="61">
        <v>6697</v>
      </c>
      <c r="AV24" s="61">
        <v>9564</v>
      </c>
      <c r="AW24" s="65">
        <v>3274</v>
      </c>
      <c r="AX24">
        <f t="shared" si="11"/>
        <v>3.274</v>
      </c>
      <c r="AY24" s="78">
        <f t="shared" si="12"/>
        <v>3.2740000000000001E-8</v>
      </c>
    </row>
    <row r="25" spans="1:55" x14ac:dyDescent="0.25">
      <c r="A25" s="57"/>
      <c r="B25" s="58" t="s">
        <v>96</v>
      </c>
      <c r="C25" s="55"/>
      <c r="D25" s="59" t="s">
        <v>109</v>
      </c>
      <c r="E25" s="59">
        <v>1000000000</v>
      </c>
      <c r="F25" s="60">
        <v>1.0000000000000001E-11</v>
      </c>
      <c r="G25" s="61">
        <v>-5194</v>
      </c>
      <c r="H25" s="61">
        <f t="shared" si="1"/>
        <v>-51.940000000000005</v>
      </c>
      <c r="I25" s="146">
        <f t="shared" si="2"/>
        <v>6.5999999999999995E-8</v>
      </c>
      <c r="J25" s="61">
        <f t="shared" si="3"/>
        <v>-786969696.96969712</v>
      </c>
      <c r="K25" s="61">
        <f t="shared" si="4"/>
        <v>185.46</v>
      </c>
      <c r="L25" s="61">
        <f t="shared" si="5"/>
        <v>209.34000000000003</v>
      </c>
      <c r="M25" s="61">
        <f t="shared" si="6"/>
        <v>303.57000000000005</v>
      </c>
      <c r="N25" s="81">
        <v>2.3346000000000001E-6</v>
      </c>
      <c r="O25" s="80">
        <f t="shared" si="7"/>
        <v>2.827036751477769E-2</v>
      </c>
      <c r="P25" s="61">
        <f t="shared" si="8"/>
        <v>79439732.716525316</v>
      </c>
      <c r="Q25" s="61">
        <f t="shared" si="9"/>
        <v>89668465.690053985</v>
      </c>
      <c r="R25" s="61">
        <f t="shared" si="10"/>
        <v>130030840.40092523</v>
      </c>
      <c r="S25" s="61">
        <f t="shared" si="0"/>
        <v>18546</v>
      </c>
      <c r="T25" s="61">
        <v>18546</v>
      </c>
      <c r="U25" s="61">
        <v>18113</v>
      </c>
      <c r="V25" s="61">
        <v>5486</v>
      </c>
      <c r="W25" s="61">
        <v>12197</v>
      </c>
      <c r="X25" s="61"/>
      <c r="Y25" s="61"/>
      <c r="Z25" s="61"/>
      <c r="AA25" s="61"/>
      <c r="AB25" s="61"/>
      <c r="AC25" s="61"/>
      <c r="AD25" s="61">
        <v>20934</v>
      </c>
      <c r="AE25" s="61">
        <v>15740</v>
      </c>
      <c r="AF25" s="61">
        <v>3929</v>
      </c>
      <c r="AG25" s="61">
        <v>114</v>
      </c>
      <c r="AH25" s="61">
        <v>48</v>
      </c>
      <c r="AI25" s="61"/>
      <c r="AJ25" s="61"/>
      <c r="AK25" s="61"/>
      <c r="AL25" s="61">
        <v>66</v>
      </c>
      <c r="AM25" s="61"/>
      <c r="AN25" s="61"/>
      <c r="AO25" s="61">
        <v>0</v>
      </c>
      <c r="AP25" s="61">
        <v>0</v>
      </c>
      <c r="AQ25" s="61">
        <v>3815</v>
      </c>
      <c r="AR25" s="61">
        <v>30357</v>
      </c>
      <c r="AS25" s="61">
        <v>22743</v>
      </c>
      <c r="AT25" s="61">
        <v>15506</v>
      </c>
      <c r="AU25" s="61">
        <v>7237</v>
      </c>
      <c r="AV25" s="61">
        <v>7614</v>
      </c>
      <c r="AW25" s="65">
        <v>6600</v>
      </c>
      <c r="AX25">
        <f t="shared" si="11"/>
        <v>6.6</v>
      </c>
      <c r="AY25" s="78">
        <f t="shared" si="12"/>
        <v>6.5999999999999995E-8</v>
      </c>
    </row>
    <row r="26" spans="1:55" x14ac:dyDescent="0.25">
      <c r="A26" s="57"/>
      <c r="B26" s="58" t="s">
        <v>97</v>
      </c>
      <c r="C26" s="55"/>
      <c r="D26" s="59" t="s">
        <v>109</v>
      </c>
      <c r="E26" s="59">
        <v>1000000000</v>
      </c>
      <c r="F26" s="60">
        <v>1.0000000000000001E-11</v>
      </c>
      <c r="G26" s="61">
        <v>-6088</v>
      </c>
      <c r="H26" s="61">
        <f t="shared" si="1"/>
        <v>-60.88000000000001</v>
      </c>
      <c r="I26" s="146">
        <f t="shared" si="2"/>
        <v>7.2999999999999992E-8</v>
      </c>
      <c r="J26" s="61">
        <f t="shared" si="3"/>
        <v>-833972602.73972631</v>
      </c>
      <c r="K26" s="61">
        <f t="shared" si="4"/>
        <v>198.14000000000001</v>
      </c>
      <c r="L26" s="61">
        <f t="shared" si="5"/>
        <v>244.33</v>
      </c>
      <c r="M26" s="61">
        <f t="shared" si="6"/>
        <v>337.45000000000005</v>
      </c>
      <c r="N26" s="81">
        <v>2.5737E-6</v>
      </c>
      <c r="O26" s="80">
        <f t="shared" si="7"/>
        <v>2.8363834168706529E-2</v>
      </c>
      <c r="P26" s="61">
        <f t="shared" si="8"/>
        <v>76986439.755993322</v>
      </c>
      <c r="Q26" s="61">
        <f t="shared" si="9"/>
        <v>94933364.416987225</v>
      </c>
      <c r="R26" s="61">
        <f t="shared" si="10"/>
        <v>131114737.53739753</v>
      </c>
      <c r="S26" s="61">
        <f t="shared" si="0"/>
        <v>19814</v>
      </c>
      <c r="T26" s="61">
        <v>19814</v>
      </c>
      <c r="U26" s="61">
        <v>19031</v>
      </c>
      <c r="V26" s="61">
        <v>6402</v>
      </c>
      <c r="W26" s="61">
        <v>12232</v>
      </c>
      <c r="X26" s="61"/>
      <c r="Y26" s="61"/>
      <c r="Z26" s="61"/>
      <c r="AA26" s="61"/>
      <c r="AB26" s="61"/>
      <c r="AC26" s="61"/>
      <c r="AD26" s="61">
        <v>24433</v>
      </c>
      <c r="AE26" s="61">
        <v>18345</v>
      </c>
      <c r="AF26" s="61">
        <v>4414</v>
      </c>
      <c r="AG26" s="61">
        <v>235</v>
      </c>
      <c r="AH26" s="61">
        <v>142</v>
      </c>
      <c r="AI26" s="61"/>
      <c r="AJ26" s="61"/>
      <c r="AK26" s="61"/>
      <c r="AL26" s="61">
        <v>93</v>
      </c>
      <c r="AM26" s="61"/>
      <c r="AN26" s="61"/>
      <c r="AO26" s="61">
        <v>0</v>
      </c>
      <c r="AP26" s="61">
        <v>0</v>
      </c>
      <c r="AQ26" s="61">
        <v>4179</v>
      </c>
      <c r="AR26" s="61">
        <v>33745</v>
      </c>
      <c r="AS26" s="61">
        <v>24182</v>
      </c>
      <c r="AT26" s="61">
        <v>16725</v>
      </c>
      <c r="AU26" s="61">
        <v>7457</v>
      </c>
      <c r="AV26" s="61">
        <v>9563</v>
      </c>
      <c r="AW26" s="65">
        <v>7300</v>
      </c>
      <c r="AX26">
        <f t="shared" si="11"/>
        <v>7.3</v>
      </c>
      <c r="AY26" s="78">
        <f t="shared" si="12"/>
        <v>7.2999999999999992E-8</v>
      </c>
    </row>
    <row r="27" spans="1:55" x14ac:dyDescent="0.25">
      <c r="A27" s="57"/>
      <c r="B27" s="58" t="s">
        <v>98</v>
      </c>
      <c r="C27" s="55"/>
      <c r="D27" s="59" t="s">
        <v>109</v>
      </c>
      <c r="E27" s="59">
        <v>1000000000</v>
      </c>
      <c r="F27" s="60">
        <v>1.0000000000000001E-11</v>
      </c>
      <c r="G27" s="61">
        <v>-5853</v>
      </c>
      <c r="H27" s="61">
        <f t="shared" si="1"/>
        <v>-58.530000000000008</v>
      </c>
      <c r="I27" s="146">
        <f t="shared" si="2"/>
        <v>7.4499999999999999E-8</v>
      </c>
      <c r="J27" s="61">
        <f t="shared" si="3"/>
        <v>-785637583.89261758</v>
      </c>
      <c r="K27" s="61">
        <f t="shared" si="4"/>
        <v>230.54000000000002</v>
      </c>
      <c r="L27" s="61">
        <f t="shared" si="5"/>
        <v>251.46000000000004</v>
      </c>
      <c r="M27" s="61">
        <f t="shared" si="6"/>
        <v>375.56000000000006</v>
      </c>
      <c r="N27" s="81">
        <v>2.7775999999999999E-6</v>
      </c>
      <c r="O27" s="80">
        <f t="shared" si="7"/>
        <v>2.6821716589861752E-2</v>
      </c>
      <c r="P27" s="61">
        <f t="shared" si="8"/>
        <v>82999711.981566831</v>
      </c>
      <c r="Q27" s="61">
        <f t="shared" si="9"/>
        <v>90531394.009216607</v>
      </c>
      <c r="R27" s="61">
        <f t="shared" si="10"/>
        <v>135210253.45622122</v>
      </c>
      <c r="S27" s="61">
        <f t="shared" si="0"/>
        <v>23054</v>
      </c>
      <c r="T27" s="61">
        <v>23054</v>
      </c>
      <c r="U27" s="61">
        <v>21713</v>
      </c>
      <c r="V27" s="61">
        <v>7115</v>
      </c>
      <c r="W27" s="61">
        <v>14103</v>
      </c>
      <c r="X27" s="61"/>
      <c r="Y27" s="61"/>
      <c r="Z27" s="61"/>
      <c r="AA27" s="61"/>
      <c r="AB27" s="61"/>
      <c r="AC27" s="61"/>
      <c r="AD27" s="61">
        <v>25146</v>
      </c>
      <c r="AE27" s="61">
        <v>19293</v>
      </c>
      <c r="AF27" s="61">
        <v>4791</v>
      </c>
      <c r="AG27" s="61">
        <v>189</v>
      </c>
      <c r="AH27" s="61">
        <v>119</v>
      </c>
      <c r="AI27" s="61"/>
      <c r="AJ27" s="61"/>
      <c r="AK27" s="61"/>
      <c r="AL27" s="61">
        <v>70</v>
      </c>
      <c r="AM27" s="61"/>
      <c r="AN27" s="61"/>
      <c r="AO27" s="61">
        <v>0</v>
      </c>
      <c r="AP27" s="61">
        <v>0</v>
      </c>
      <c r="AQ27" s="61">
        <v>4602</v>
      </c>
      <c r="AR27" s="61">
        <v>37556</v>
      </c>
      <c r="AS27" s="61">
        <v>25019</v>
      </c>
      <c r="AT27" s="61">
        <v>15787</v>
      </c>
      <c r="AU27" s="61">
        <v>9232</v>
      </c>
      <c r="AV27" s="61">
        <v>12537</v>
      </c>
      <c r="AW27" s="65">
        <v>7450</v>
      </c>
      <c r="AX27">
        <f t="shared" si="11"/>
        <v>7.45</v>
      </c>
      <c r="AY27" s="78">
        <f t="shared" si="12"/>
        <v>7.4499999999999999E-8</v>
      </c>
    </row>
    <row r="28" spans="1:55" x14ac:dyDescent="0.25">
      <c r="A28" s="57"/>
      <c r="B28" s="58" t="s">
        <v>99</v>
      </c>
      <c r="C28" s="55"/>
      <c r="D28" s="59" t="s">
        <v>109</v>
      </c>
      <c r="E28" s="59">
        <v>1000000000</v>
      </c>
      <c r="F28" s="60">
        <v>1.0000000000000001E-11</v>
      </c>
      <c r="G28" s="61">
        <v>-4889</v>
      </c>
      <c r="H28" s="61">
        <f t="shared" si="1"/>
        <v>-48.890000000000008</v>
      </c>
      <c r="I28" s="146">
        <f t="shared" si="2"/>
        <v>7.6700000000000005E-8</v>
      </c>
      <c r="J28" s="61">
        <f t="shared" si="3"/>
        <v>-637418513.68970025</v>
      </c>
      <c r="K28" s="61">
        <f t="shared" si="4"/>
        <v>224.13000000000002</v>
      </c>
      <c r="L28" s="61">
        <f t="shared" si="5"/>
        <v>258.42</v>
      </c>
      <c r="M28" s="61">
        <f t="shared" si="6"/>
        <v>376.99000000000007</v>
      </c>
      <c r="N28" s="81">
        <v>2.9761000000000002E-6</v>
      </c>
      <c r="O28" s="80">
        <f t="shared" si="7"/>
        <v>2.5771983468297437E-2</v>
      </c>
      <c r="P28" s="61">
        <f t="shared" si="8"/>
        <v>75309969.423070461</v>
      </c>
      <c r="Q28" s="61">
        <f t="shared" si="9"/>
        <v>86831759.685494438</v>
      </c>
      <c r="R28" s="61">
        <f t="shared" si="10"/>
        <v>126672490.84372166</v>
      </c>
      <c r="S28" s="61">
        <f t="shared" si="0"/>
        <v>22413</v>
      </c>
      <c r="T28" s="61">
        <v>22413</v>
      </c>
      <c r="U28" s="61">
        <v>20187</v>
      </c>
      <c r="V28" s="61">
        <v>3925</v>
      </c>
      <c r="W28" s="61">
        <v>15717</v>
      </c>
      <c r="X28" s="61"/>
      <c r="Y28" s="61"/>
      <c r="Z28" s="61"/>
      <c r="AA28" s="61"/>
      <c r="AB28" s="61"/>
      <c r="AC28" s="61"/>
      <c r="AD28" s="61">
        <v>25842</v>
      </c>
      <c r="AE28" s="61">
        <v>20953</v>
      </c>
      <c r="AF28" s="61">
        <v>5667</v>
      </c>
      <c r="AG28" s="61">
        <v>223</v>
      </c>
      <c r="AH28" s="61">
        <v>142</v>
      </c>
      <c r="AI28" s="61"/>
      <c r="AJ28" s="61"/>
      <c r="AK28" s="61"/>
      <c r="AL28" s="61">
        <v>81</v>
      </c>
      <c r="AM28" s="61"/>
      <c r="AN28" s="61"/>
      <c r="AO28" s="61">
        <v>0</v>
      </c>
      <c r="AP28" s="61">
        <v>0</v>
      </c>
      <c r="AQ28" s="61">
        <v>5444</v>
      </c>
      <c r="AR28" s="61">
        <v>37699</v>
      </c>
      <c r="AS28" s="61">
        <v>24802</v>
      </c>
      <c r="AT28" s="61">
        <v>16760</v>
      </c>
      <c r="AU28" s="61">
        <v>8042</v>
      </c>
      <c r="AV28" s="61">
        <v>12897</v>
      </c>
      <c r="AW28" s="65">
        <v>7670</v>
      </c>
      <c r="AX28">
        <f t="shared" si="11"/>
        <v>7.67</v>
      </c>
      <c r="AY28" s="78">
        <f t="shared" si="12"/>
        <v>7.6700000000000005E-8</v>
      </c>
    </row>
    <row r="29" spans="1:55" x14ac:dyDescent="0.25">
      <c r="A29" s="57"/>
      <c r="B29" s="58" t="s">
        <v>100</v>
      </c>
      <c r="C29" s="55"/>
      <c r="D29" s="59" t="s">
        <v>109</v>
      </c>
      <c r="E29" s="59">
        <v>1000000000</v>
      </c>
      <c r="F29" s="60">
        <v>1.0000000000000001E-11</v>
      </c>
      <c r="G29" s="61">
        <v>-8120</v>
      </c>
      <c r="H29" s="61">
        <f t="shared" si="1"/>
        <v>-81.2</v>
      </c>
      <c r="I29" s="146">
        <f t="shared" si="2"/>
        <v>9.199999999999999E-8</v>
      </c>
      <c r="J29" s="61">
        <f t="shared" si="3"/>
        <v>-882608695.652174</v>
      </c>
      <c r="K29" s="61">
        <f t="shared" si="4"/>
        <v>305.25000000000006</v>
      </c>
      <c r="L29" s="61">
        <f t="shared" si="5"/>
        <v>299.01000000000005</v>
      </c>
      <c r="M29" s="61">
        <f t="shared" si="6"/>
        <v>462.1</v>
      </c>
      <c r="N29" s="81">
        <v>3.1493999999999999E-6</v>
      </c>
      <c r="O29" s="80">
        <f t="shared" si="7"/>
        <v>2.9211913380326408E-2</v>
      </c>
      <c r="P29" s="61">
        <f t="shared" si="8"/>
        <v>96923223.471137375</v>
      </c>
      <c r="Q29" s="61">
        <f t="shared" si="9"/>
        <v>94941893.694036976</v>
      </c>
      <c r="R29" s="61">
        <f t="shared" si="10"/>
        <v>146726360.57661778</v>
      </c>
      <c r="S29" s="61">
        <f t="shared" si="0"/>
        <v>30525</v>
      </c>
      <c r="T29" s="61">
        <v>30525</v>
      </c>
      <c r="U29" s="61">
        <v>27318</v>
      </c>
      <c r="V29" s="61">
        <v>7055</v>
      </c>
      <c r="W29" s="61">
        <v>19717</v>
      </c>
      <c r="X29" s="61"/>
      <c r="Y29" s="61"/>
      <c r="Z29" s="61"/>
      <c r="AA29" s="61"/>
      <c r="AB29" s="61"/>
      <c r="AC29" s="61"/>
      <c r="AD29" s="61">
        <v>29901</v>
      </c>
      <c r="AE29" s="61">
        <v>21781</v>
      </c>
      <c r="AF29" s="61">
        <v>6096</v>
      </c>
      <c r="AG29" s="61">
        <v>167</v>
      </c>
      <c r="AH29" s="61">
        <v>73</v>
      </c>
      <c r="AI29" s="61"/>
      <c r="AJ29" s="61"/>
      <c r="AK29" s="61"/>
      <c r="AL29" s="61">
        <v>94</v>
      </c>
      <c r="AM29" s="61"/>
      <c r="AN29" s="61"/>
      <c r="AO29" s="61">
        <v>0</v>
      </c>
      <c r="AP29" s="61">
        <v>0</v>
      </c>
      <c r="AQ29" s="61">
        <v>5929</v>
      </c>
      <c r="AR29" s="61">
        <v>46210</v>
      </c>
      <c r="AS29" s="61">
        <v>29467</v>
      </c>
      <c r="AT29" s="61">
        <v>18786</v>
      </c>
      <c r="AU29" s="61">
        <v>10681</v>
      </c>
      <c r="AV29" s="61">
        <v>16743</v>
      </c>
      <c r="AW29" s="65">
        <v>9200</v>
      </c>
      <c r="AX29">
        <f t="shared" si="11"/>
        <v>9.1999999999999993</v>
      </c>
      <c r="AY29" s="78">
        <f t="shared" si="12"/>
        <v>9.199999999999999E-8</v>
      </c>
    </row>
    <row r="30" spans="1:55" x14ac:dyDescent="0.25">
      <c r="A30" s="57"/>
      <c r="B30" s="58" t="s">
        <v>101</v>
      </c>
      <c r="C30" s="55"/>
      <c r="D30" s="59" t="s">
        <v>109</v>
      </c>
      <c r="E30" s="59">
        <v>1000000000</v>
      </c>
      <c r="F30" s="60">
        <v>1.0000000000000001E-11</v>
      </c>
      <c r="G30" s="61">
        <v>-9618</v>
      </c>
      <c r="H30" s="61">
        <f t="shared" si="1"/>
        <v>-96.18</v>
      </c>
      <c r="I30" s="146">
        <f t="shared" si="2"/>
        <v>1.0650000000000001E-7</v>
      </c>
      <c r="J30" s="61">
        <f t="shared" si="3"/>
        <v>-903098591.54929578</v>
      </c>
      <c r="K30" s="61">
        <f t="shared" si="4"/>
        <v>325.99</v>
      </c>
      <c r="L30" s="61">
        <f t="shared" si="5"/>
        <v>413.56000000000006</v>
      </c>
      <c r="M30" s="61">
        <f t="shared" si="6"/>
        <v>452.53000000000003</v>
      </c>
      <c r="N30" s="81">
        <v>3.3764E-6</v>
      </c>
      <c r="O30" s="80">
        <f t="shared" si="7"/>
        <v>3.1542471271176403E-2</v>
      </c>
      <c r="P30" s="61">
        <f t="shared" si="8"/>
        <v>96549579.433716387</v>
      </c>
      <c r="Q30" s="61">
        <f t="shared" si="9"/>
        <v>122485487.50148089</v>
      </c>
      <c r="R30" s="61">
        <f t="shared" si="10"/>
        <v>134027366.42577894</v>
      </c>
      <c r="S30" s="61">
        <f t="shared" si="0"/>
        <v>32599</v>
      </c>
      <c r="T30" s="61">
        <v>32599</v>
      </c>
      <c r="U30" s="61">
        <v>28593</v>
      </c>
      <c r="V30" s="61">
        <v>4391</v>
      </c>
      <c r="W30" s="61">
        <v>23359</v>
      </c>
      <c r="X30" s="61"/>
      <c r="Y30" s="61"/>
      <c r="Z30" s="61"/>
      <c r="AA30" s="61"/>
      <c r="AB30" s="61"/>
      <c r="AC30" s="61"/>
      <c r="AD30" s="61">
        <v>41356</v>
      </c>
      <c r="AE30" s="61">
        <v>31738</v>
      </c>
      <c r="AF30" s="61">
        <v>19084</v>
      </c>
      <c r="AG30" s="61">
        <v>215</v>
      </c>
      <c r="AH30" s="61">
        <v>103</v>
      </c>
      <c r="AI30" s="61"/>
      <c r="AJ30" s="61"/>
      <c r="AK30" s="61"/>
      <c r="AL30" s="61">
        <v>112</v>
      </c>
      <c r="AM30" s="61"/>
      <c r="AN30" s="61"/>
      <c r="AO30" s="61">
        <v>0</v>
      </c>
      <c r="AP30" s="61">
        <v>0</v>
      </c>
      <c r="AQ30" s="61">
        <v>18869</v>
      </c>
      <c r="AR30" s="61">
        <v>45253</v>
      </c>
      <c r="AS30" s="61">
        <v>30689</v>
      </c>
      <c r="AT30" s="61">
        <v>19996</v>
      </c>
      <c r="AU30" s="61">
        <v>10693</v>
      </c>
      <c r="AV30" s="61">
        <v>14564</v>
      </c>
      <c r="AW30" s="65">
        <v>10650</v>
      </c>
      <c r="AX30">
        <f t="shared" si="11"/>
        <v>10.65</v>
      </c>
      <c r="AY30" s="78">
        <f t="shared" si="12"/>
        <v>1.0650000000000001E-7</v>
      </c>
    </row>
    <row r="31" spans="1:55" x14ac:dyDescent="0.25">
      <c r="A31" s="57"/>
      <c r="B31" s="58" t="s">
        <v>102</v>
      </c>
      <c r="C31" s="55"/>
      <c r="D31" s="59" t="s">
        <v>109</v>
      </c>
      <c r="E31" s="59">
        <v>1000000000</v>
      </c>
      <c r="F31" s="60">
        <v>1.0000000000000001E-11</v>
      </c>
      <c r="G31" s="61">
        <v>-11417</v>
      </c>
      <c r="H31" s="61">
        <f t="shared" si="1"/>
        <v>-114.17000000000002</v>
      </c>
      <c r="I31" s="146">
        <f t="shared" si="2"/>
        <v>1.06E-7</v>
      </c>
      <c r="J31" s="61">
        <f t="shared" si="3"/>
        <v>-1077075471.6981134</v>
      </c>
      <c r="K31" s="61">
        <f t="shared" si="4"/>
        <v>482.67000000000007</v>
      </c>
      <c r="L31" s="61">
        <f t="shared" si="5"/>
        <v>418.88000000000005</v>
      </c>
      <c r="M31" s="61">
        <f t="shared" si="6"/>
        <v>513.28000000000009</v>
      </c>
      <c r="N31" s="81">
        <v>3.6735999999999999E-6</v>
      </c>
      <c r="O31" s="80">
        <f t="shared" si="7"/>
        <v>2.8854529616724738E-2</v>
      </c>
      <c r="P31" s="61">
        <f t="shared" si="8"/>
        <v>131388828.39721256</v>
      </c>
      <c r="Q31" s="61">
        <f t="shared" si="9"/>
        <v>114024390.24390246</v>
      </c>
      <c r="R31" s="61">
        <f t="shared" si="10"/>
        <v>139721254.35540071</v>
      </c>
      <c r="S31" s="61">
        <f t="shared" si="0"/>
        <v>48267</v>
      </c>
      <c r="T31" s="61">
        <v>48267</v>
      </c>
      <c r="U31" s="61">
        <v>43542</v>
      </c>
      <c r="V31" s="61">
        <v>8128</v>
      </c>
      <c r="W31" s="61">
        <v>34299</v>
      </c>
      <c r="X31" s="61"/>
      <c r="Y31" s="61"/>
      <c r="Z31" s="61"/>
      <c r="AA31" s="61"/>
      <c r="AB31" s="61"/>
      <c r="AC31" s="61"/>
      <c r="AD31" s="61">
        <v>41888</v>
      </c>
      <c r="AE31" s="61">
        <v>30471</v>
      </c>
      <c r="AF31" s="61">
        <v>27410</v>
      </c>
      <c r="AG31" s="61">
        <v>428</v>
      </c>
      <c r="AH31" s="61">
        <v>267</v>
      </c>
      <c r="AI31" s="61"/>
      <c r="AJ31" s="61"/>
      <c r="AK31" s="61"/>
      <c r="AL31" s="61">
        <v>161</v>
      </c>
      <c r="AM31" s="61"/>
      <c r="AN31" s="61"/>
      <c r="AO31" s="61">
        <v>0</v>
      </c>
      <c r="AP31" s="61">
        <v>0</v>
      </c>
      <c r="AQ31" s="61">
        <v>26982</v>
      </c>
      <c r="AR31" s="61">
        <v>51328</v>
      </c>
      <c r="AS31" s="61">
        <v>39495</v>
      </c>
      <c r="AT31" s="61">
        <v>29580</v>
      </c>
      <c r="AU31" s="61">
        <v>9915</v>
      </c>
      <c r="AV31" s="61">
        <v>11833</v>
      </c>
      <c r="AW31" s="65">
        <v>10600</v>
      </c>
      <c r="AX31">
        <f t="shared" si="11"/>
        <v>10.6</v>
      </c>
      <c r="AY31" s="78">
        <f t="shared" si="12"/>
        <v>1.06E-7</v>
      </c>
    </row>
    <row r="32" spans="1:55" x14ac:dyDescent="0.25">
      <c r="A32" s="62">
        <v>1982.01</v>
      </c>
      <c r="B32" s="58" t="s">
        <v>103</v>
      </c>
      <c r="C32" s="55"/>
      <c r="D32" s="59" t="s">
        <v>109</v>
      </c>
      <c r="E32" s="59">
        <v>1000000000</v>
      </c>
      <c r="F32" s="60">
        <v>1.0000000000000001E-11</v>
      </c>
      <c r="G32" s="61">
        <v>-11624</v>
      </c>
      <c r="H32" s="61">
        <f t="shared" si="1"/>
        <v>-116.24000000000001</v>
      </c>
      <c r="I32" s="146">
        <f t="shared" si="2"/>
        <v>1.0075E-7</v>
      </c>
      <c r="J32" s="61">
        <f t="shared" si="3"/>
        <v>-1153746898.2630274</v>
      </c>
      <c r="K32" s="61">
        <f t="shared" si="4"/>
        <v>481.05000000000007</v>
      </c>
      <c r="L32" s="61">
        <f t="shared" si="5"/>
        <v>467.82000000000005</v>
      </c>
      <c r="M32" s="61">
        <f t="shared" si="6"/>
        <v>508.04000000000008</v>
      </c>
      <c r="N32" s="81">
        <v>4.1115999999999997E-6</v>
      </c>
      <c r="O32" s="80">
        <f t="shared" si="7"/>
        <v>2.4503842786263257E-2</v>
      </c>
      <c r="P32" s="61">
        <f t="shared" si="8"/>
        <v>116998248.85689272</v>
      </c>
      <c r="Q32" s="61">
        <f t="shared" si="9"/>
        <v>113780523.39721765</v>
      </c>
      <c r="R32" s="61">
        <f t="shared" si="10"/>
        <v>123562603.36608621</v>
      </c>
      <c r="S32" s="61">
        <f t="shared" si="0"/>
        <v>48105</v>
      </c>
      <c r="T32" s="61">
        <v>48105</v>
      </c>
      <c r="U32" s="61">
        <v>43158</v>
      </c>
      <c r="V32" s="61">
        <v>3343</v>
      </c>
      <c r="W32" s="61">
        <v>38542</v>
      </c>
      <c r="X32" s="61"/>
      <c r="Y32" s="61"/>
      <c r="Z32" s="61"/>
      <c r="AA32" s="61"/>
      <c r="AB32" s="61"/>
      <c r="AC32" s="61"/>
      <c r="AD32" s="61">
        <v>46782</v>
      </c>
      <c r="AE32" s="61">
        <v>35158</v>
      </c>
      <c r="AF32" s="61">
        <v>32459</v>
      </c>
      <c r="AG32" s="61">
        <v>1963</v>
      </c>
      <c r="AH32" s="61">
        <v>1805</v>
      </c>
      <c r="AI32" s="61"/>
      <c r="AJ32" s="61"/>
      <c r="AK32" s="61"/>
      <c r="AL32" s="61">
        <v>158</v>
      </c>
      <c r="AM32" s="61"/>
      <c r="AN32" s="61"/>
      <c r="AO32" s="61">
        <v>0</v>
      </c>
      <c r="AP32" s="61">
        <v>0</v>
      </c>
      <c r="AQ32" s="61">
        <v>30496</v>
      </c>
      <c r="AR32" s="61">
        <v>50804</v>
      </c>
      <c r="AS32" s="61">
        <v>37155</v>
      </c>
      <c r="AT32" s="61">
        <v>26782</v>
      </c>
      <c r="AU32" s="61">
        <v>10373</v>
      </c>
      <c r="AV32" s="61">
        <v>13649</v>
      </c>
      <c r="AW32" s="65">
        <v>10075</v>
      </c>
      <c r="AX32">
        <f t="shared" si="11"/>
        <v>10.074999999999999</v>
      </c>
      <c r="AY32" s="78">
        <f t="shared" si="12"/>
        <v>1.0075E-7</v>
      </c>
      <c r="BA32" s="68">
        <v>1981</v>
      </c>
      <c r="BB32" s="67">
        <v>6.1088800000000001E-8</v>
      </c>
      <c r="BC32">
        <f>+BB32*100000000</f>
        <v>6.1088800000000001</v>
      </c>
    </row>
    <row r="33" spans="1:55" x14ac:dyDescent="0.25">
      <c r="A33" s="57"/>
      <c r="B33" s="58" t="s">
        <v>104</v>
      </c>
      <c r="C33" s="55"/>
      <c r="D33" s="59" t="s">
        <v>109</v>
      </c>
      <c r="E33" s="59">
        <v>1000000000</v>
      </c>
      <c r="F33" s="60">
        <v>1.0000000000000001E-11</v>
      </c>
      <c r="G33" s="61">
        <v>-11072</v>
      </c>
      <c r="H33" s="61">
        <f t="shared" si="1"/>
        <v>-110.72000000000001</v>
      </c>
      <c r="I33" s="146">
        <f t="shared" si="2"/>
        <v>1.0050000000000001E-7</v>
      </c>
      <c r="J33" s="61">
        <f t="shared" si="3"/>
        <v>-1101691542.2885573</v>
      </c>
      <c r="K33" s="61">
        <f t="shared" si="4"/>
        <v>525.33000000000004</v>
      </c>
      <c r="L33" s="61">
        <f t="shared" si="5"/>
        <v>533.13000000000011</v>
      </c>
      <c r="M33" s="61">
        <f t="shared" si="6"/>
        <v>578.66000000000008</v>
      </c>
      <c r="N33" s="81">
        <v>4.3289000000000002E-6</v>
      </c>
      <c r="O33" s="80">
        <f t="shared" si="7"/>
        <v>2.321605950703412E-2</v>
      </c>
      <c r="P33" s="61">
        <f t="shared" si="8"/>
        <v>121354154.63512671</v>
      </c>
      <c r="Q33" s="61">
        <f t="shared" si="9"/>
        <v>123155998.05955325</v>
      </c>
      <c r="R33" s="61">
        <f t="shared" si="10"/>
        <v>133673681.53572503</v>
      </c>
      <c r="S33" s="61">
        <f t="shared" si="0"/>
        <v>52533</v>
      </c>
      <c r="T33" s="61">
        <v>52533</v>
      </c>
      <c r="U33" s="61">
        <v>47190</v>
      </c>
      <c r="V33" s="61">
        <v>7164</v>
      </c>
      <c r="W33" s="61">
        <v>38562</v>
      </c>
      <c r="X33" s="61"/>
      <c r="Y33" s="61"/>
      <c r="Z33" s="61"/>
      <c r="AA33" s="61"/>
      <c r="AB33" s="61"/>
      <c r="AC33" s="61"/>
      <c r="AD33" s="61">
        <v>53313</v>
      </c>
      <c r="AE33" s="61">
        <v>42241</v>
      </c>
      <c r="AF33" s="61">
        <v>36908</v>
      </c>
      <c r="AG33" s="61">
        <v>3641</v>
      </c>
      <c r="AH33" s="61">
        <v>3392</v>
      </c>
      <c r="AI33" s="61"/>
      <c r="AJ33" s="61"/>
      <c r="AK33" s="61"/>
      <c r="AL33" s="61">
        <v>249</v>
      </c>
      <c r="AM33" s="61"/>
      <c r="AN33" s="61"/>
      <c r="AO33" s="61">
        <v>0</v>
      </c>
      <c r="AP33" s="61">
        <v>0</v>
      </c>
      <c r="AQ33" s="61">
        <v>33267</v>
      </c>
      <c r="AR33" s="61">
        <v>57866</v>
      </c>
      <c r="AS33" s="61">
        <v>38795</v>
      </c>
      <c r="AT33" s="61">
        <v>25613</v>
      </c>
      <c r="AU33" s="61">
        <v>13182</v>
      </c>
      <c r="AV33" s="61">
        <v>19071</v>
      </c>
      <c r="AW33" s="65">
        <v>10050</v>
      </c>
      <c r="AX33">
        <f t="shared" si="11"/>
        <v>10.050000000000001</v>
      </c>
      <c r="AY33" s="78">
        <f t="shared" si="12"/>
        <v>1.0050000000000001E-7</v>
      </c>
    </row>
    <row r="34" spans="1:55" x14ac:dyDescent="0.25">
      <c r="A34" s="57"/>
      <c r="B34" s="58" t="s">
        <v>105</v>
      </c>
      <c r="C34" s="55"/>
      <c r="D34" s="59" t="s">
        <v>109</v>
      </c>
      <c r="E34" s="59">
        <v>1000000000</v>
      </c>
      <c r="F34" s="60">
        <v>1.0000000000000001E-11</v>
      </c>
      <c r="G34" s="61">
        <v>-16988</v>
      </c>
      <c r="H34" s="61">
        <f t="shared" si="1"/>
        <v>-169.88000000000002</v>
      </c>
      <c r="I34" s="146">
        <f t="shared" si="2"/>
        <v>1.1599999999999999E-7</v>
      </c>
      <c r="J34" s="61">
        <f t="shared" si="3"/>
        <v>-1464482758.6206899</v>
      </c>
      <c r="K34" s="61">
        <f t="shared" si="4"/>
        <v>575.19000000000005</v>
      </c>
      <c r="L34" s="61">
        <f t="shared" si="5"/>
        <v>617.94000000000005</v>
      </c>
      <c r="M34" s="61">
        <f t="shared" si="6"/>
        <v>606.83000000000004</v>
      </c>
      <c r="N34" s="81">
        <v>4.5329999999999996E-6</v>
      </c>
      <c r="O34" s="80">
        <f t="shared" si="7"/>
        <v>2.5590116920361793E-2</v>
      </c>
      <c r="P34" s="61">
        <f t="shared" si="8"/>
        <v>126889477.16743881</v>
      </c>
      <c r="Q34" s="61">
        <f t="shared" si="9"/>
        <v>136320317.67041695</v>
      </c>
      <c r="R34" s="61">
        <f t="shared" si="10"/>
        <v>133869402.16192369</v>
      </c>
      <c r="S34" s="61">
        <f t="shared" si="0"/>
        <v>57519</v>
      </c>
      <c r="T34" s="61">
        <v>57519</v>
      </c>
      <c r="U34" s="61">
        <v>51654</v>
      </c>
      <c r="V34" s="61">
        <v>5952</v>
      </c>
      <c r="W34" s="61">
        <v>43895</v>
      </c>
      <c r="X34" s="61"/>
      <c r="Y34" s="61"/>
      <c r="Z34" s="61"/>
      <c r="AA34" s="61"/>
      <c r="AB34" s="61"/>
      <c r="AC34" s="61"/>
      <c r="AD34" s="61">
        <v>61794</v>
      </c>
      <c r="AE34" s="61">
        <v>44806</v>
      </c>
      <c r="AF34" s="61">
        <v>41642</v>
      </c>
      <c r="AG34" s="61">
        <v>5512</v>
      </c>
      <c r="AH34" s="61">
        <v>5298</v>
      </c>
      <c r="AI34" s="61"/>
      <c r="AJ34" s="61"/>
      <c r="AK34" s="61"/>
      <c r="AL34" s="61">
        <v>214</v>
      </c>
      <c r="AM34" s="61"/>
      <c r="AN34" s="61"/>
      <c r="AO34" s="61">
        <v>0</v>
      </c>
      <c r="AP34" s="61">
        <v>0</v>
      </c>
      <c r="AQ34" s="61">
        <v>36130</v>
      </c>
      <c r="AR34" s="61">
        <v>60683</v>
      </c>
      <c r="AS34" s="61">
        <v>36881</v>
      </c>
      <c r="AT34" s="61">
        <v>24710</v>
      </c>
      <c r="AU34" s="61">
        <v>12171</v>
      </c>
      <c r="AV34" s="61">
        <v>23802</v>
      </c>
      <c r="AW34" s="65">
        <v>11600</v>
      </c>
      <c r="AX34">
        <f t="shared" si="11"/>
        <v>11.6</v>
      </c>
      <c r="AY34" s="78">
        <f t="shared" si="12"/>
        <v>1.1599999999999999E-7</v>
      </c>
    </row>
    <row r="35" spans="1:55" x14ac:dyDescent="0.25">
      <c r="A35" s="57"/>
      <c r="B35" s="58" t="s">
        <v>106</v>
      </c>
      <c r="C35" s="55"/>
      <c r="D35" s="59" t="s">
        <v>109</v>
      </c>
      <c r="E35" s="59">
        <v>1000000000</v>
      </c>
      <c r="F35" s="60">
        <v>1.0000000000000001E-11</v>
      </c>
      <c r="G35" s="61">
        <v>-22237</v>
      </c>
      <c r="H35" s="61">
        <f t="shared" si="1"/>
        <v>-222.37000000000003</v>
      </c>
      <c r="I35" s="146">
        <f t="shared" si="2"/>
        <v>1.1999999999999999E-7</v>
      </c>
      <c r="J35" s="61">
        <f t="shared" si="3"/>
        <v>-1853083333.3333337</v>
      </c>
      <c r="K35" s="61">
        <f t="shared" si="4"/>
        <v>700.2600000000001</v>
      </c>
      <c r="L35" s="61">
        <f t="shared" si="5"/>
        <v>728.98</v>
      </c>
      <c r="M35" s="61">
        <f t="shared" si="6"/>
        <v>709.85</v>
      </c>
      <c r="N35" s="81">
        <v>4.7229000000000001E-6</v>
      </c>
      <c r="O35" s="80">
        <f t="shared" si="7"/>
        <v>2.5408117893667023E-2</v>
      </c>
      <c r="P35" s="61">
        <f t="shared" si="8"/>
        <v>148269071.96849394</v>
      </c>
      <c r="Q35" s="61">
        <f t="shared" si="9"/>
        <v>154350081.51771158</v>
      </c>
      <c r="R35" s="61">
        <f t="shared" si="10"/>
        <v>150299604.05682948</v>
      </c>
      <c r="S35" s="61">
        <f t="shared" si="0"/>
        <v>70026</v>
      </c>
      <c r="T35" s="61">
        <v>70026</v>
      </c>
      <c r="U35" s="61">
        <v>63340</v>
      </c>
      <c r="V35" s="61">
        <v>4747</v>
      </c>
      <c r="W35" s="61">
        <v>56391</v>
      </c>
      <c r="X35" s="61"/>
      <c r="Y35" s="61"/>
      <c r="Z35" s="61"/>
      <c r="AA35" s="61"/>
      <c r="AB35" s="61"/>
      <c r="AC35" s="61"/>
      <c r="AD35" s="61">
        <v>72898</v>
      </c>
      <c r="AE35" s="61">
        <v>50661</v>
      </c>
      <c r="AF35" s="61">
        <v>49702</v>
      </c>
      <c r="AG35" s="61">
        <v>9098</v>
      </c>
      <c r="AH35" s="61">
        <v>8902</v>
      </c>
      <c r="AI35" s="61"/>
      <c r="AJ35" s="61"/>
      <c r="AK35" s="61"/>
      <c r="AL35" s="61">
        <v>196</v>
      </c>
      <c r="AM35" s="61"/>
      <c r="AN35" s="61"/>
      <c r="AO35" s="61">
        <v>0</v>
      </c>
      <c r="AP35" s="61">
        <v>0</v>
      </c>
      <c r="AQ35" s="61">
        <v>40604</v>
      </c>
      <c r="AR35" s="61">
        <v>70985</v>
      </c>
      <c r="AS35" s="61">
        <v>55025</v>
      </c>
      <c r="AT35" s="61">
        <v>42903</v>
      </c>
      <c r="AU35" s="61">
        <v>12122</v>
      </c>
      <c r="AV35" s="61">
        <v>15960</v>
      </c>
      <c r="AW35" s="65">
        <v>12000</v>
      </c>
      <c r="AX35">
        <f t="shared" si="11"/>
        <v>12</v>
      </c>
      <c r="AY35" s="78">
        <f t="shared" si="12"/>
        <v>1.1999999999999999E-7</v>
      </c>
    </row>
    <row r="36" spans="1:55" x14ac:dyDescent="0.25">
      <c r="A36" s="57"/>
      <c r="B36" s="58" t="s">
        <v>107</v>
      </c>
      <c r="C36" s="55"/>
      <c r="D36" s="59" t="s">
        <v>109</v>
      </c>
      <c r="E36" s="59">
        <v>1000000000</v>
      </c>
      <c r="F36" s="60">
        <v>1.0000000000000001E-11</v>
      </c>
      <c r="G36" s="61">
        <v>-20924</v>
      </c>
      <c r="H36" s="61">
        <f t="shared" si="1"/>
        <v>-209.24</v>
      </c>
      <c r="I36" s="146">
        <f t="shared" si="2"/>
        <v>1.4599999999999998E-7</v>
      </c>
      <c r="J36" s="61">
        <f t="shared" si="3"/>
        <v>-1433150684.9315071</v>
      </c>
      <c r="K36" s="61">
        <f t="shared" si="4"/>
        <v>707.22</v>
      </c>
      <c r="L36" s="61">
        <f t="shared" si="5"/>
        <v>746.83</v>
      </c>
      <c r="M36" s="61">
        <f t="shared" si="6"/>
        <v>680.62000000000012</v>
      </c>
      <c r="N36" s="81">
        <v>4.8674000000000002E-6</v>
      </c>
      <c r="O36" s="80">
        <f t="shared" si="7"/>
        <v>2.9995480133130619E-2</v>
      </c>
      <c r="P36" s="61">
        <f t="shared" si="8"/>
        <v>145297283.97090849</v>
      </c>
      <c r="Q36" s="61">
        <f t="shared" si="9"/>
        <v>153435098.82072565</v>
      </c>
      <c r="R36" s="61">
        <f t="shared" si="10"/>
        <v>139832354.02884498</v>
      </c>
      <c r="S36" s="61">
        <f t="shared" si="0"/>
        <v>70722</v>
      </c>
      <c r="T36" s="61">
        <v>70722</v>
      </c>
      <c r="U36" s="61">
        <v>63362</v>
      </c>
      <c r="V36" s="61">
        <v>5220</v>
      </c>
      <c r="W36" s="61">
        <v>55976</v>
      </c>
      <c r="X36" s="61"/>
      <c r="Y36" s="61"/>
      <c r="Z36" s="61"/>
      <c r="AA36" s="61"/>
      <c r="AB36" s="61"/>
      <c r="AC36" s="61"/>
      <c r="AD36" s="61">
        <v>74683</v>
      </c>
      <c r="AE36" s="61">
        <v>53759</v>
      </c>
      <c r="AF36" s="61">
        <v>56419</v>
      </c>
      <c r="AG36" s="61">
        <v>10683</v>
      </c>
      <c r="AH36" s="61">
        <v>10437</v>
      </c>
      <c r="AI36" s="61"/>
      <c r="AJ36" s="61"/>
      <c r="AK36" s="61"/>
      <c r="AL36" s="61">
        <v>246</v>
      </c>
      <c r="AM36" s="61"/>
      <c r="AN36" s="61"/>
      <c r="AO36" s="61">
        <v>0</v>
      </c>
      <c r="AP36" s="61">
        <v>0</v>
      </c>
      <c r="AQ36" s="61">
        <v>45736</v>
      </c>
      <c r="AR36" s="61">
        <v>68062</v>
      </c>
      <c r="AS36" s="61">
        <v>53682</v>
      </c>
      <c r="AT36" s="61">
        <v>38303</v>
      </c>
      <c r="AU36" s="61">
        <v>15379</v>
      </c>
      <c r="AV36" s="61">
        <v>14380</v>
      </c>
      <c r="AW36" s="65">
        <v>14600</v>
      </c>
      <c r="AX36">
        <f t="shared" si="11"/>
        <v>14.6</v>
      </c>
      <c r="AY36" s="78">
        <f t="shared" si="12"/>
        <v>1.4599999999999998E-7</v>
      </c>
    </row>
    <row r="37" spans="1:55" x14ac:dyDescent="0.25">
      <c r="A37" s="57"/>
      <c r="B37" s="58" t="s">
        <v>96</v>
      </c>
      <c r="C37" s="55"/>
      <c r="D37" s="59" t="s">
        <v>109</v>
      </c>
      <c r="E37" s="59">
        <v>1000000000</v>
      </c>
      <c r="F37" s="60">
        <v>1.0000000000000001E-11</v>
      </c>
      <c r="G37" s="61">
        <v>-27943</v>
      </c>
      <c r="H37" s="61">
        <f t="shared" si="1"/>
        <v>-279.43</v>
      </c>
      <c r="I37" s="146">
        <f t="shared" si="2"/>
        <v>1.575E-7</v>
      </c>
      <c r="J37" s="61">
        <f t="shared" si="3"/>
        <v>-1774158730.1587303</v>
      </c>
      <c r="K37" s="61">
        <f t="shared" si="4"/>
        <v>713.43000000000006</v>
      </c>
      <c r="L37" s="61">
        <f t="shared" si="5"/>
        <v>859.85000000000014</v>
      </c>
      <c r="M37" s="61">
        <f t="shared" si="6"/>
        <v>651.72</v>
      </c>
      <c r="N37" s="81">
        <v>5.2517E-6</v>
      </c>
      <c r="O37" s="80">
        <f t="shared" si="7"/>
        <v>2.9990288858845707E-2</v>
      </c>
      <c r="P37" s="61">
        <f t="shared" si="8"/>
        <v>135847439.87661138</v>
      </c>
      <c r="Q37" s="61">
        <f t="shared" si="9"/>
        <v>163727935.71605387</v>
      </c>
      <c r="R37" s="61">
        <f t="shared" si="10"/>
        <v>124096959.07991698</v>
      </c>
      <c r="S37" s="61">
        <f t="shared" si="0"/>
        <v>71343</v>
      </c>
      <c r="T37" s="61">
        <v>71343</v>
      </c>
      <c r="U37" s="61">
        <v>63600</v>
      </c>
      <c r="V37" s="61">
        <v>3588</v>
      </c>
      <c r="W37" s="61">
        <v>57527</v>
      </c>
      <c r="X37" s="61"/>
      <c r="Y37" s="61"/>
      <c r="Z37" s="61"/>
      <c r="AA37" s="61"/>
      <c r="AB37" s="61"/>
      <c r="AC37" s="61"/>
      <c r="AD37" s="61">
        <v>85985</v>
      </c>
      <c r="AE37" s="61">
        <v>58042</v>
      </c>
      <c r="AF37" s="61">
        <v>64213</v>
      </c>
      <c r="AG37" s="61">
        <v>15313</v>
      </c>
      <c r="AH37" s="61">
        <v>15066</v>
      </c>
      <c r="AI37" s="61"/>
      <c r="AJ37" s="61"/>
      <c r="AK37" s="61"/>
      <c r="AL37" s="61">
        <v>247</v>
      </c>
      <c r="AM37" s="61"/>
      <c r="AN37" s="61"/>
      <c r="AO37" s="61">
        <v>0</v>
      </c>
      <c r="AP37" s="61">
        <v>0</v>
      </c>
      <c r="AQ37" s="61">
        <v>48900</v>
      </c>
      <c r="AR37" s="61">
        <v>65172</v>
      </c>
      <c r="AS37" s="61">
        <v>51216</v>
      </c>
      <c r="AT37" s="61">
        <v>38410</v>
      </c>
      <c r="AU37" s="61">
        <v>12806</v>
      </c>
      <c r="AV37" s="61">
        <v>13956</v>
      </c>
      <c r="AW37" s="65">
        <v>15750</v>
      </c>
      <c r="AX37">
        <f t="shared" si="11"/>
        <v>15.75</v>
      </c>
      <c r="AY37" s="78">
        <f t="shared" si="12"/>
        <v>1.575E-7</v>
      </c>
    </row>
    <row r="38" spans="1:55" x14ac:dyDescent="0.25">
      <c r="A38" s="57"/>
      <c r="B38" s="58" t="s">
        <v>97</v>
      </c>
      <c r="C38" s="55"/>
      <c r="D38" s="59" t="s">
        <v>109</v>
      </c>
      <c r="E38" s="59">
        <v>1000000000</v>
      </c>
      <c r="F38" s="60">
        <v>1.0000000000000001E-11</v>
      </c>
      <c r="G38" s="61">
        <v>-27934</v>
      </c>
      <c r="H38" s="61">
        <f t="shared" si="1"/>
        <v>-279.34000000000003</v>
      </c>
      <c r="I38" s="146">
        <f t="shared" si="2"/>
        <v>3.9000000000000002E-7</v>
      </c>
      <c r="J38" s="61">
        <f t="shared" si="3"/>
        <v>-716256410.25641024</v>
      </c>
      <c r="K38" s="61">
        <f t="shared" si="4"/>
        <v>870.90000000000009</v>
      </c>
      <c r="L38" s="61">
        <f t="shared" si="5"/>
        <v>3424.53</v>
      </c>
      <c r="M38" s="61">
        <f t="shared" si="6"/>
        <v>3210.4600000000005</v>
      </c>
      <c r="N38" s="81">
        <v>6.1055999999999996E-6</v>
      </c>
      <c r="O38" s="80">
        <f t="shared" si="7"/>
        <v>6.3875786163522019E-2</v>
      </c>
      <c r="P38" s="61">
        <f t="shared" si="8"/>
        <v>142639544.02515724</v>
      </c>
      <c r="Q38" s="61">
        <f t="shared" si="9"/>
        <v>560883451.25786173</v>
      </c>
      <c r="R38" s="61">
        <f t="shared" si="10"/>
        <v>525822196.01677161</v>
      </c>
      <c r="S38" s="61">
        <f t="shared" si="0"/>
        <v>87090</v>
      </c>
      <c r="T38" s="61">
        <v>87090</v>
      </c>
      <c r="U38" s="61">
        <v>79319</v>
      </c>
      <c r="V38" s="61">
        <v>0</v>
      </c>
      <c r="W38" s="61">
        <v>77942</v>
      </c>
      <c r="X38" s="61"/>
      <c r="Y38" s="61"/>
      <c r="Z38" s="61"/>
      <c r="AA38" s="61"/>
      <c r="AB38" s="61"/>
      <c r="AC38" s="61"/>
      <c r="AD38" s="61">
        <v>342453</v>
      </c>
      <c r="AE38" s="61">
        <v>314519</v>
      </c>
      <c r="AF38" s="61">
        <v>80563</v>
      </c>
      <c r="AG38" s="61">
        <v>24498</v>
      </c>
      <c r="AH38" s="61">
        <v>23151</v>
      </c>
      <c r="AI38" s="61"/>
      <c r="AJ38" s="61"/>
      <c r="AK38" s="61"/>
      <c r="AL38" s="61">
        <v>1347</v>
      </c>
      <c r="AM38" s="61"/>
      <c r="AN38" s="61"/>
      <c r="AO38" s="61">
        <v>0</v>
      </c>
      <c r="AP38" s="61">
        <v>0</v>
      </c>
      <c r="AQ38" s="61">
        <v>56065</v>
      </c>
      <c r="AR38" s="61">
        <v>321046</v>
      </c>
      <c r="AS38" s="61">
        <v>67705</v>
      </c>
      <c r="AT38" s="61">
        <v>45263</v>
      </c>
      <c r="AU38" s="61">
        <v>22442</v>
      </c>
      <c r="AV38" s="61">
        <v>253341</v>
      </c>
      <c r="AW38" s="65">
        <v>39000</v>
      </c>
      <c r="AX38">
        <f t="shared" si="11"/>
        <v>39</v>
      </c>
      <c r="AY38" s="78">
        <f t="shared" si="12"/>
        <v>3.9000000000000002E-7</v>
      </c>
    </row>
    <row r="39" spans="1:55" x14ac:dyDescent="0.25">
      <c r="A39" s="57"/>
      <c r="B39" s="58" t="s">
        <v>98</v>
      </c>
      <c r="C39" s="55"/>
      <c r="D39" s="59" t="s">
        <v>109</v>
      </c>
      <c r="E39" s="59">
        <v>1000000000</v>
      </c>
      <c r="F39" s="60">
        <v>1.0000000000000001E-11</v>
      </c>
      <c r="G39" s="61">
        <v>-45843</v>
      </c>
      <c r="H39" s="61">
        <f t="shared" si="1"/>
        <v>-458.43000000000006</v>
      </c>
      <c r="I39" s="146">
        <f t="shared" si="2"/>
        <v>3.9000000000000002E-7</v>
      </c>
      <c r="J39" s="61">
        <f t="shared" si="3"/>
        <v>-1175461538.4615386</v>
      </c>
      <c r="K39" s="61">
        <f t="shared" si="4"/>
        <v>886.5100000000001</v>
      </c>
      <c r="L39" s="61">
        <f t="shared" si="5"/>
        <v>3712.9000000000005</v>
      </c>
      <c r="M39" s="61">
        <f t="shared" si="6"/>
        <v>2903.8700000000003</v>
      </c>
      <c r="N39" s="81">
        <v>7.0025000000000003E-6</v>
      </c>
      <c r="O39" s="80">
        <f t="shared" si="7"/>
        <v>5.5694394858978938E-2</v>
      </c>
      <c r="P39" s="61">
        <f t="shared" si="8"/>
        <v>126599071.76008569</v>
      </c>
      <c r="Q39" s="61">
        <f t="shared" si="9"/>
        <v>530224919.67154592</v>
      </c>
      <c r="R39" s="61">
        <f t="shared" si="10"/>
        <v>414690467.69011068</v>
      </c>
      <c r="S39" s="61">
        <f t="shared" si="0"/>
        <v>88651</v>
      </c>
      <c r="T39" s="61">
        <v>88651</v>
      </c>
      <c r="U39" s="61">
        <v>80877</v>
      </c>
      <c r="V39" s="61">
        <v>108</v>
      </c>
      <c r="W39" s="61">
        <v>79597</v>
      </c>
      <c r="X39" s="61"/>
      <c r="Y39" s="61"/>
      <c r="Z39" s="61"/>
      <c r="AA39" s="61"/>
      <c r="AB39" s="61"/>
      <c r="AC39" s="61"/>
      <c r="AD39" s="61">
        <v>371290</v>
      </c>
      <c r="AE39" s="61">
        <v>325447</v>
      </c>
      <c r="AF39" s="61">
        <v>123711</v>
      </c>
      <c r="AG39" s="61">
        <v>53263</v>
      </c>
      <c r="AH39" s="61">
        <v>52836</v>
      </c>
      <c r="AI39" s="61"/>
      <c r="AJ39" s="61"/>
      <c r="AK39" s="61"/>
      <c r="AL39" s="61">
        <v>427</v>
      </c>
      <c r="AM39" s="61"/>
      <c r="AN39" s="61"/>
      <c r="AO39" s="61">
        <v>0</v>
      </c>
      <c r="AP39" s="61">
        <v>0</v>
      </c>
      <c r="AQ39" s="61">
        <v>70448</v>
      </c>
      <c r="AR39" s="61">
        <v>290387</v>
      </c>
      <c r="AS39" s="61">
        <v>71457</v>
      </c>
      <c r="AT39" s="61">
        <v>45523</v>
      </c>
      <c r="AU39" s="61">
        <v>25934</v>
      </c>
      <c r="AV39" s="61">
        <v>218930</v>
      </c>
      <c r="AW39" s="65">
        <v>39000</v>
      </c>
      <c r="AX39">
        <f t="shared" si="11"/>
        <v>39</v>
      </c>
      <c r="AY39" s="78">
        <f t="shared" si="12"/>
        <v>3.9000000000000002E-7</v>
      </c>
    </row>
    <row r="40" spans="1:55" x14ac:dyDescent="0.25">
      <c r="A40" s="57"/>
      <c r="B40" s="58" t="s">
        <v>99</v>
      </c>
      <c r="C40" s="55"/>
      <c r="D40" s="59" t="s">
        <v>109</v>
      </c>
      <c r="E40" s="59">
        <v>1000000000</v>
      </c>
      <c r="F40" s="60">
        <v>1.0000000000000001E-11</v>
      </c>
      <c r="G40" s="61">
        <v>-34272</v>
      </c>
      <c r="H40" s="61">
        <f t="shared" si="1"/>
        <v>-342.72</v>
      </c>
      <c r="I40" s="146">
        <f t="shared" si="2"/>
        <v>3.9000000000000002E-7</v>
      </c>
      <c r="J40" s="61">
        <f t="shared" si="3"/>
        <v>-878769230.76923084</v>
      </c>
      <c r="K40" s="61">
        <f t="shared" si="4"/>
        <v>909.2700000000001</v>
      </c>
      <c r="L40" s="61">
        <f t="shared" si="5"/>
        <v>3860.6300000000006</v>
      </c>
      <c r="M40" s="61">
        <f t="shared" si="6"/>
        <v>3150.6400000000003</v>
      </c>
      <c r="N40" s="81">
        <v>8.1975999999999992E-6</v>
      </c>
      <c r="O40" s="80">
        <f t="shared" si="7"/>
        <v>4.7574899970723145E-2</v>
      </c>
      <c r="P40" s="61">
        <f t="shared" si="8"/>
        <v>110919049.47789599</v>
      </c>
      <c r="Q40" s="61">
        <f t="shared" si="9"/>
        <v>470946374.54864848</v>
      </c>
      <c r="R40" s="61">
        <f t="shared" si="10"/>
        <v>384336879.08656198</v>
      </c>
      <c r="S40" s="61">
        <f t="shared" si="0"/>
        <v>90927</v>
      </c>
      <c r="T40" s="61">
        <v>90927</v>
      </c>
      <c r="U40" s="61">
        <v>79449</v>
      </c>
      <c r="V40" s="61">
        <v>0</v>
      </c>
      <c r="W40" s="61">
        <v>78052</v>
      </c>
      <c r="X40" s="61"/>
      <c r="Y40" s="61"/>
      <c r="Z40" s="61"/>
      <c r="AA40" s="61"/>
      <c r="AB40" s="61"/>
      <c r="AC40" s="61"/>
      <c r="AD40" s="61">
        <v>386063</v>
      </c>
      <c r="AE40" s="61">
        <v>351791</v>
      </c>
      <c r="AF40" s="61">
        <v>127654</v>
      </c>
      <c r="AG40" s="61">
        <v>48973</v>
      </c>
      <c r="AH40" s="61">
        <v>48691</v>
      </c>
      <c r="AI40" s="61"/>
      <c r="AJ40" s="61"/>
      <c r="AK40" s="61"/>
      <c r="AL40" s="61">
        <v>282</v>
      </c>
      <c r="AM40" s="61"/>
      <c r="AN40" s="61"/>
      <c r="AO40" s="61">
        <v>0</v>
      </c>
      <c r="AP40" s="61">
        <v>0</v>
      </c>
      <c r="AQ40" s="61">
        <v>78681</v>
      </c>
      <c r="AR40" s="61">
        <v>315064</v>
      </c>
      <c r="AS40" s="61">
        <v>72011</v>
      </c>
      <c r="AT40" s="61">
        <v>46773</v>
      </c>
      <c r="AU40" s="61">
        <v>25238</v>
      </c>
      <c r="AV40" s="61">
        <v>243053</v>
      </c>
      <c r="AW40" s="65">
        <v>39000</v>
      </c>
      <c r="AX40">
        <f t="shared" si="11"/>
        <v>39</v>
      </c>
      <c r="AY40" s="78">
        <f t="shared" si="12"/>
        <v>3.9000000000000002E-7</v>
      </c>
    </row>
    <row r="41" spans="1:55" x14ac:dyDescent="0.25">
      <c r="A41" s="57"/>
      <c r="B41" s="58" t="s">
        <v>100</v>
      </c>
      <c r="C41" s="55"/>
      <c r="D41" s="59" t="s">
        <v>109</v>
      </c>
      <c r="E41" s="59">
        <v>1000000000</v>
      </c>
      <c r="F41" s="60">
        <v>1.0000000000000001E-11</v>
      </c>
      <c r="G41" s="61">
        <v>-38088</v>
      </c>
      <c r="H41" s="61">
        <f t="shared" si="1"/>
        <v>-380.88000000000005</v>
      </c>
      <c r="I41" s="146">
        <f t="shared" si="2"/>
        <v>3.9000000000000002E-7</v>
      </c>
      <c r="J41" s="61">
        <f t="shared" si="3"/>
        <v>-976615384.6153847</v>
      </c>
      <c r="K41" s="61">
        <f t="shared" si="4"/>
        <v>1126.6100000000001</v>
      </c>
      <c r="L41" s="61">
        <f t="shared" si="5"/>
        <v>4043.55</v>
      </c>
      <c r="M41" s="61">
        <f t="shared" si="6"/>
        <v>3040.01</v>
      </c>
      <c r="N41" s="81">
        <v>9.2377999999999999E-6</v>
      </c>
      <c r="O41" s="80">
        <f t="shared" si="7"/>
        <v>4.2217844075429216E-2</v>
      </c>
      <c r="P41" s="61">
        <f t="shared" si="8"/>
        <v>121956526.44569054</v>
      </c>
      <c r="Q41" s="61">
        <f t="shared" si="9"/>
        <v>437717854.90051746</v>
      </c>
      <c r="R41" s="61">
        <f t="shared" si="10"/>
        <v>329083764.53268099</v>
      </c>
      <c r="S41" s="61">
        <f t="shared" si="0"/>
        <v>112661</v>
      </c>
      <c r="T41" s="61">
        <v>112661</v>
      </c>
      <c r="U41" s="61">
        <v>78653</v>
      </c>
      <c r="V41" s="61">
        <v>789</v>
      </c>
      <c r="W41" s="61">
        <v>76227</v>
      </c>
      <c r="X41" s="61"/>
      <c r="Y41" s="61"/>
      <c r="Z41" s="61"/>
      <c r="AA41" s="61"/>
      <c r="AB41" s="61"/>
      <c r="AC41" s="61"/>
      <c r="AD41" s="61">
        <v>404355</v>
      </c>
      <c r="AE41" s="61">
        <v>366267</v>
      </c>
      <c r="AF41" s="61">
        <v>174927</v>
      </c>
      <c r="AG41" s="61">
        <v>51364</v>
      </c>
      <c r="AH41" s="61">
        <v>51097</v>
      </c>
      <c r="AI41" s="61"/>
      <c r="AJ41" s="61"/>
      <c r="AK41" s="61"/>
      <c r="AL41" s="61">
        <v>267</v>
      </c>
      <c r="AM41" s="61"/>
      <c r="AN41" s="61"/>
      <c r="AO41" s="61">
        <v>0</v>
      </c>
      <c r="AP41" s="61">
        <v>0</v>
      </c>
      <c r="AQ41" s="61">
        <v>123563</v>
      </c>
      <c r="AR41" s="61">
        <v>304001</v>
      </c>
      <c r="AS41" s="61">
        <v>72808</v>
      </c>
      <c r="AT41" s="61">
        <v>52292</v>
      </c>
      <c r="AU41" s="61">
        <v>20516</v>
      </c>
      <c r="AV41" s="61">
        <v>231193</v>
      </c>
      <c r="AW41" s="65">
        <v>39000</v>
      </c>
      <c r="AX41">
        <f t="shared" si="11"/>
        <v>39</v>
      </c>
      <c r="AY41" s="78">
        <f t="shared" si="12"/>
        <v>3.9000000000000002E-7</v>
      </c>
    </row>
    <row r="42" spans="1:55" x14ac:dyDescent="0.25">
      <c r="A42" s="57"/>
      <c r="B42" s="58" t="s">
        <v>101</v>
      </c>
      <c r="C42" s="55"/>
      <c r="D42" s="59" t="s">
        <v>109</v>
      </c>
      <c r="E42" s="59">
        <v>1000000000</v>
      </c>
      <c r="F42" s="60">
        <v>1.0000000000000001E-11</v>
      </c>
      <c r="G42" s="61">
        <v>-42405</v>
      </c>
      <c r="H42" s="61">
        <f t="shared" si="1"/>
        <v>-424.05000000000007</v>
      </c>
      <c r="I42" s="146">
        <f t="shared" si="2"/>
        <v>4.34E-7</v>
      </c>
      <c r="J42" s="61">
        <f t="shared" si="3"/>
        <v>-977073732.71889412</v>
      </c>
      <c r="K42" s="61">
        <f t="shared" si="4"/>
        <v>1197.42</v>
      </c>
      <c r="L42" s="61">
        <f t="shared" si="5"/>
        <v>4727.2000000000007</v>
      </c>
      <c r="M42" s="61">
        <f t="shared" si="6"/>
        <v>3532.4000000000005</v>
      </c>
      <c r="N42" s="81">
        <v>1.0285800000000001E-5</v>
      </c>
      <c r="O42" s="80">
        <f t="shared" si="7"/>
        <v>4.2194092827004218E-2</v>
      </c>
      <c r="P42" s="61">
        <f t="shared" si="8"/>
        <v>116414863.20947325</v>
      </c>
      <c r="Q42" s="61">
        <f t="shared" si="9"/>
        <v>459585059.01339716</v>
      </c>
      <c r="R42" s="61">
        <f t="shared" si="10"/>
        <v>343424915.90347862</v>
      </c>
      <c r="S42" s="61">
        <f t="shared" si="0"/>
        <v>119742</v>
      </c>
      <c r="T42" s="61">
        <v>119742</v>
      </c>
      <c r="U42" s="61">
        <v>74681</v>
      </c>
      <c r="V42" s="61">
        <v>162</v>
      </c>
      <c r="W42" s="61">
        <v>72676</v>
      </c>
      <c r="X42" s="61"/>
      <c r="Y42" s="61"/>
      <c r="Z42" s="61"/>
      <c r="AA42" s="61"/>
      <c r="AB42" s="61"/>
      <c r="AC42" s="61"/>
      <c r="AD42" s="61">
        <v>472720</v>
      </c>
      <c r="AE42" s="61">
        <v>430315</v>
      </c>
      <c r="AF42" s="61">
        <v>196817</v>
      </c>
      <c r="AG42" s="61">
        <v>45403</v>
      </c>
      <c r="AH42" s="61">
        <v>45202</v>
      </c>
      <c r="AI42" s="61"/>
      <c r="AJ42" s="61"/>
      <c r="AK42" s="61"/>
      <c r="AL42" s="61">
        <v>201</v>
      </c>
      <c r="AM42" s="61"/>
      <c r="AN42" s="61"/>
      <c r="AO42" s="61">
        <v>0</v>
      </c>
      <c r="AP42" s="61">
        <v>0</v>
      </c>
      <c r="AQ42" s="61">
        <v>151414</v>
      </c>
      <c r="AR42" s="61">
        <v>353240</v>
      </c>
      <c r="AS42" s="61">
        <v>83345</v>
      </c>
      <c r="AT42" s="61">
        <v>55274</v>
      </c>
      <c r="AU42" s="61">
        <v>28071</v>
      </c>
      <c r="AV42" s="61">
        <v>269895</v>
      </c>
      <c r="AW42" s="65">
        <v>43400</v>
      </c>
      <c r="AX42">
        <f t="shared" si="11"/>
        <v>43.4</v>
      </c>
      <c r="AY42" s="78">
        <f t="shared" si="12"/>
        <v>4.34E-7</v>
      </c>
    </row>
    <row r="43" spans="1:55" x14ac:dyDescent="0.25">
      <c r="A43" s="57"/>
      <c r="B43" s="58" t="s">
        <v>102</v>
      </c>
      <c r="C43" s="55"/>
      <c r="D43" s="59" t="s">
        <v>109</v>
      </c>
      <c r="E43" s="59">
        <v>1000000000</v>
      </c>
      <c r="F43" s="60">
        <v>1.0000000000000001E-11</v>
      </c>
      <c r="G43" s="61">
        <v>-47341</v>
      </c>
      <c r="H43" s="61">
        <f t="shared" si="1"/>
        <v>-473.41</v>
      </c>
      <c r="I43" s="146">
        <f t="shared" si="2"/>
        <v>4.8569999999999996E-7</v>
      </c>
      <c r="J43" s="61">
        <f t="shared" si="3"/>
        <v>-974696314.59748828</v>
      </c>
      <c r="K43" s="61">
        <f t="shared" si="4"/>
        <v>1434.9</v>
      </c>
      <c r="L43" s="61">
        <f t="shared" si="5"/>
        <v>4783.9900000000007</v>
      </c>
      <c r="M43" s="61">
        <f t="shared" si="6"/>
        <v>4332.42</v>
      </c>
      <c r="N43" s="81">
        <v>1.1378200000000001E-5</v>
      </c>
      <c r="O43" s="80">
        <f t="shared" si="7"/>
        <v>4.2686892478599421E-2</v>
      </c>
      <c r="P43" s="61">
        <f t="shared" si="8"/>
        <v>126109577.96488021</v>
      </c>
      <c r="Q43" s="61">
        <f t="shared" si="9"/>
        <v>420452268.3728534</v>
      </c>
      <c r="R43" s="61">
        <f t="shared" si="10"/>
        <v>380764971.61238158</v>
      </c>
      <c r="S43" s="61">
        <f t="shared" si="0"/>
        <v>143490</v>
      </c>
      <c r="T43" s="61">
        <v>143490</v>
      </c>
      <c r="U43" s="61">
        <v>135747</v>
      </c>
      <c r="V43" s="61">
        <v>2814</v>
      </c>
      <c r="W43" s="61">
        <v>130673</v>
      </c>
      <c r="X43" s="61"/>
      <c r="Y43" s="61"/>
      <c r="Z43" s="61"/>
      <c r="AA43" s="61"/>
      <c r="AB43" s="61"/>
      <c r="AC43" s="61"/>
      <c r="AD43" s="61">
        <v>478399</v>
      </c>
      <c r="AE43" s="61">
        <v>431058</v>
      </c>
      <c r="AF43" s="61">
        <v>141306</v>
      </c>
      <c r="AG43" s="61">
        <v>29241</v>
      </c>
      <c r="AH43" s="61">
        <v>29007</v>
      </c>
      <c r="AI43" s="61"/>
      <c r="AJ43" s="61"/>
      <c r="AK43" s="61"/>
      <c r="AL43" s="61">
        <v>234</v>
      </c>
      <c r="AM43" s="61"/>
      <c r="AN43" s="61"/>
      <c r="AO43" s="61">
        <v>0</v>
      </c>
      <c r="AP43" s="61">
        <v>0</v>
      </c>
      <c r="AQ43" s="61">
        <v>112065</v>
      </c>
      <c r="AR43" s="61">
        <v>433242</v>
      </c>
      <c r="AS43" s="61">
        <v>115954</v>
      </c>
      <c r="AT43" s="61">
        <v>86348</v>
      </c>
      <c r="AU43" s="61">
        <v>29606</v>
      </c>
      <c r="AV43" s="61">
        <v>317288</v>
      </c>
      <c r="AW43" s="65">
        <v>48570</v>
      </c>
      <c r="AX43">
        <f t="shared" si="11"/>
        <v>48.57</v>
      </c>
      <c r="AY43" s="78">
        <f t="shared" si="12"/>
        <v>4.8569999999999996E-7</v>
      </c>
      <c r="BA43" s="68">
        <v>1982</v>
      </c>
      <c r="BB43" s="69">
        <v>3.6162500000000001E-7</v>
      </c>
      <c r="BC43">
        <f>+BB43*100000000</f>
        <v>36.162500000000001</v>
      </c>
    </row>
    <row r="44" spans="1:55" x14ac:dyDescent="0.25">
      <c r="A44" s="62">
        <v>1983.01</v>
      </c>
      <c r="B44" s="58" t="s">
        <v>103</v>
      </c>
      <c r="C44" s="55"/>
      <c r="D44" s="59" t="s">
        <v>110</v>
      </c>
      <c r="E44" s="59">
        <v>1000000</v>
      </c>
      <c r="F44" s="60">
        <v>1.0000000000000001E-7</v>
      </c>
      <c r="G44" s="61">
        <v>-5754</v>
      </c>
      <c r="H44" s="61">
        <f t="shared" si="1"/>
        <v>-575.40000000000009</v>
      </c>
      <c r="I44" s="146">
        <f t="shared" si="2"/>
        <v>5.4069999999999996E-7</v>
      </c>
      <c r="J44" s="61">
        <f t="shared" si="3"/>
        <v>-1064176068.0599226</v>
      </c>
      <c r="K44" s="61">
        <f t="shared" si="4"/>
        <v>2146.6000000000004</v>
      </c>
      <c r="L44" s="61">
        <f t="shared" si="5"/>
        <v>5050.7000000000007</v>
      </c>
      <c r="M44" s="61">
        <f t="shared" si="6"/>
        <v>4927.9000000000005</v>
      </c>
      <c r="N44" s="81">
        <v>1.31964E-5</v>
      </c>
      <c r="O44" s="80">
        <f t="shared" si="7"/>
        <v>4.0973295747325028E-2</v>
      </c>
      <c r="P44" s="61">
        <f t="shared" si="8"/>
        <v>162665575.45997396</v>
      </c>
      <c r="Q44" s="61">
        <f t="shared" si="9"/>
        <v>382733169.6523295</v>
      </c>
      <c r="R44" s="61">
        <f t="shared" si="10"/>
        <v>373427601.46706682</v>
      </c>
      <c r="S44" s="61">
        <f t="shared" si="0"/>
        <v>21466</v>
      </c>
      <c r="T44" s="61">
        <v>21466</v>
      </c>
      <c r="U44" s="61">
        <v>19020</v>
      </c>
      <c r="V44" s="61">
        <v>109</v>
      </c>
      <c r="W44" s="61">
        <v>18808</v>
      </c>
      <c r="X44" s="61"/>
      <c r="Y44" s="61"/>
      <c r="Z44" s="61"/>
      <c r="AA44" s="61"/>
      <c r="AB44" s="61"/>
      <c r="AC44" s="61"/>
      <c r="AD44" s="61">
        <v>50507</v>
      </c>
      <c r="AE44" s="61">
        <v>44753</v>
      </c>
      <c r="AF44" s="61">
        <v>16940</v>
      </c>
      <c r="AG44" s="61">
        <v>945</v>
      </c>
      <c r="AH44" s="61">
        <v>876</v>
      </c>
      <c r="AI44" s="61"/>
      <c r="AJ44" s="61"/>
      <c r="AK44" s="61"/>
      <c r="AL44" s="61">
        <v>69</v>
      </c>
      <c r="AM44" s="61"/>
      <c r="AN44" s="61"/>
      <c r="AO44" s="61">
        <v>0</v>
      </c>
      <c r="AP44" s="61">
        <v>0</v>
      </c>
      <c r="AQ44" s="61">
        <v>15995</v>
      </c>
      <c r="AR44" s="61">
        <v>49279</v>
      </c>
      <c r="AS44" s="61">
        <v>11909</v>
      </c>
      <c r="AT44" s="61">
        <v>7665</v>
      </c>
      <c r="AU44" s="61">
        <v>4244</v>
      </c>
      <c r="AV44" s="61">
        <v>37370</v>
      </c>
      <c r="AW44" s="65">
        <v>5.407</v>
      </c>
      <c r="AX44">
        <f>+AW44*10</f>
        <v>54.07</v>
      </c>
      <c r="AY44" s="78">
        <f t="shared" si="12"/>
        <v>5.4069999999999996E-7</v>
      </c>
    </row>
    <row r="45" spans="1:55" x14ac:dyDescent="0.25">
      <c r="A45" s="57"/>
      <c r="B45" s="58" t="s">
        <v>104</v>
      </c>
      <c r="C45" s="55"/>
      <c r="D45" s="59" t="s">
        <v>110</v>
      </c>
      <c r="E45" s="59">
        <v>1000000</v>
      </c>
      <c r="F45" s="60">
        <v>1.0000000000000001E-7</v>
      </c>
      <c r="G45" s="61">
        <v>-7338</v>
      </c>
      <c r="H45" s="61">
        <f t="shared" si="1"/>
        <v>-733.80000000000007</v>
      </c>
      <c r="I45" s="146">
        <f t="shared" si="2"/>
        <v>6.0330000000000001E-7</v>
      </c>
      <c r="J45" s="61">
        <f t="shared" si="3"/>
        <v>-1216310293.386375</v>
      </c>
      <c r="K45" s="61">
        <f t="shared" si="4"/>
        <v>2321</v>
      </c>
      <c r="L45" s="61">
        <f t="shared" si="5"/>
        <v>5135.2000000000007</v>
      </c>
      <c r="M45" s="61">
        <f t="shared" si="6"/>
        <v>5040.7000000000007</v>
      </c>
      <c r="N45" s="81">
        <v>1.49166E-5</v>
      </c>
      <c r="O45" s="80">
        <f t="shared" si="7"/>
        <v>4.0444873496641325E-2</v>
      </c>
      <c r="P45" s="61">
        <f t="shared" si="8"/>
        <v>155598460.77524367</v>
      </c>
      <c r="Q45" s="61">
        <f t="shared" si="9"/>
        <v>344260756.47265464</v>
      </c>
      <c r="R45" s="61">
        <f t="shared" si="10"/>
        <v>337925532.62807882</v>
      </c>
      <c r="S45" s="61">
        <f t="shared" si="0"/>
        <v>23210</v>
      </c>
      <c r="T45" s="61">
        <v>23210</v>
      </c>
      <c r="U45" s="61">
        <v>20836</v>
      </c>
      <c r="V45" s="61">
        <v>509</v>
      </c>
      <c r="W45" s="61">
        <v>20218</v>
      </c>
      <c r="X45" s="61"/>
      <c r="Y45" s="61"/>
      <c r="Z45" s="61"/>
      <c r="AA45" s="61"/>
      <c r="AB45" s="61"/>
      <c r="AC45" s="61"/>
      <c r="AD45" s="61">
        <v>51352</v>
      </c>
      <c r="AE45" s="61">
        <v>44014</v>
      </c>
      <c r="AF45" s="61">
        <v>16817</v>
      </c>
      <c r="AG45" s="61">
        <v>747</v>
      </c>
      <c r="AH45" s="61">
        <v>681</v>
      </c>
      <c r="AI45" s="61"/>
      <c r="AJ45" s="61"/>
      <c r="AK45" s="61"/>
      <c r="AL45" s="61">
        <v>66</v>
      </c>
      <c r="AM45" s="61"/>
      <c r="AN45" s="61"/>
      <c r="AO45" s="61">
        <v>0</v>
      </c>
      <c r="AP45" s="61">
        <v>0</v>
      </c>
      <c r="AQ45" s="61">
        <v>16070</v>
      </c>
      <c r="AR45" s="61">
        <v>50407</v>
      </c>
      <c r="AS45" s="61">
        <v>12365</v>
      </c>
      <c r="AT45" s="61">
        <v>8137</v>
      </c>
      <c r="AU45" s="61">
        <v>4228</v>
      </c>
      <c r="AV45" s="61">
        <v>38042</v>
      </c>
      <c r="AW45" s="65">
        <v>6.0330000000000004</v>
      </c>
      <c r="AX45">
        <f t="shared" ref="AX45:AX67" si="13">+AW45*10</f>
        <v>60.330000000000005</v>
      </c>
      <c r="AY45" s="78">
        <f t="shared" si="12"/>
        <v>6.0330000000000001E-7</v>
      </c>
    </row>
    <row r="46" spans="1:55" x14ac:dyDescent="0.25">
      <c r="A46" s="57"/>
      <c r="B46" s="58" t="s">
        <v>105</v>
      </c>
      <c r="C46" s="55"/>
      <c r="D46" s="59" t="s">
        <v>110</v>
      </c>
      <c r="E46" s="59">
        <v>1000000</v>
      </c>
      <c r="F46" s="60">
        <v>1.0000000000000001E-7</v>
      </c>
      <c r="G46" s="61">
        <v>-8253</v>
      </c>
      <c r="H46" s="61">
        <f t="shared" si="1"/>
        <v>-825.30000000000007</v>
      </c>
      <c r="I46" s="146">
        <f t="shared" si="2"/>
        <v>6.6369999999999989E-7</v>
      </c>
      <c r="J46" s="61">
        <f t="shared" si="3"/>
        <v>-1243483501.5820403</v>
      </c>
      <c r="K46" s="61">
        <f t="shared" si="4"/>
        <v>2843.5000000000005</v>
      </c>
      <c r="L46" s="61">
        <f t="shared" si="5"/>
        <v>5189.5</v>
      </c>
      <c r="M46" s="61">
        <f t="shared" si="6"/>
        <v>5301.0000000000009</v>
      </c>
      <c r="N46" s="81">
        <v>1.6596199999999999E-5</v>
      </c>
      <c r="O46" s="80">
        <f t="shared" si="7"/>
        <v>3.9991082295947264E-2</v>
      </c>
      <c r="P46" s="61">
        <f t="shared" si="8"/>
        <v>171334401.85102618</v>
      </c>
      <c r="Q46" s="61">
        <f t="shared" si="9"/>
        <v>312692062.03829795</v>
      </c>
      <c r="R46" s="61">
        <f t="shared" si="10"/>
        <v>319410467.45640576</v>
      </c>
      <c r="S46" s="61">
        <f t="shared" si="0"/>
        <v>28435</v>
      </c>
      <c r="T46" s="61">
        <v>28435</v>
      </c>
      <c r="U46" s="61">
        <v>24004</v>
      </c>
      <c r="V46" s="61">
        <v>327</v>
      </c>
      <c r="W46" s="61">
        <v>23511</v>
      </c>
      <c r="X46" s="61"/>
      <c r="Y46" s="61"/>
      <c r="Z46" s="61"/>
      <c r="AA46" s="61"/>
      <c r="AB46" s="61"/>
      <c r="AC46" s="61"/>
      <c r="AD46" s="61">
        <v>51895</v>
      </c>
      <c r="AE46" s="61">
        <v>43642</v>
      </c>
      <c r="AF46" s="61">
        <v>19067</v>
      </c>
      <c r="AG46" s="61">
        <v>734</v>
      </c>
      <c r="AH46" s="61">
        <v>646</v>
      </c>
      <c r="AI46" s="61"/>
      <c r="AJ46" s="61"/>
      <c r="AK46" s="61"/>
      <c r="AL46" s="61">
        <v>88</v>
      </c>
      <c r="AM46" s="61"/>
      <c r="AN46" s="61"/>
      <c r="AO46" s="61">
        <v>0</v>
      </c>
      <c r="AP46" s="61">
        <v>29</v>
      </c>
      <c r="AQ46" s="61">
        <v>18304</v>
      </c>
      <c r="AR46" s="61">
        <v>53010</v>
      </c>
      <c r="AS46" s="61">
        <v>13593</v>
      </c>
      <c r="AT46" s="61">
        <v>9672</v>
      </c>
      <c r="AU46" s="61">
        <v>3921</v>
      </c>
      <c r="AV46" s="61">
        <v>39417</v>
      </c>
      <c r="AW46" s="65">
        <v>6.6369999999999996</v>
      </c>
      <c r="AX46">
        <f t="shared" si="13"/>
        <v>66.36999999999999</v>
      </c>
      <c r="AY46" s="78">
        <f t="shared" si="12"/>
        <v>6.6369999999999989E-7</v>
      </c>
    </row>
    <row r="47" spans="1:55" x14ac:dyDescent="0.25">
      <c r="A47" s="57"/>
      <c r="B47" s="58" t="s">
        <v>106</v>
      </c>
      <c r="C47" s="55"/>
      <c r="D47" s="59" t="s">
        <v>110</v>
      </c>
      <c r="E47" s="59">
        <v>1000000</v>
      </c>
      <c r="F47" s="60">
        <v>1.0000000000000001E-7</v>
      </c>
      <c r="G47" s="61">
        <v>-9041</v>
      </c>
      <c r="H47" s="61">
        <f t="shared" si="1"/>
        <v>-904.1</v>
      </c>
      <c r="I47" s="146">
        <f t="shared" si="2"/>
        <v>7.441E-7</v>
      </c>
      <c r="J47" s="61">
        <f t="shared" si="3"/>
        <v>-1215024862.2496977</v>
      </c>
      <c r="K47" s="61">
        <f t="shared" si="4"/>
        <v>3484.9</v>
      </c>
      <c r="L47" s="61">
        <f t="shared" si="5"/>
        <v>5541.4000000000005</v>
      </c>
      <c r="M47" s="61">
        <f t="shared" si="6"/>
        <v>5688.5000000000009</v>
      </c>
      <c r="N47" s="81">
        <v>1.8300799999999999E-5</v>
      </c>
      <c r="O47" s="80">
        <f t="shared" si="7"/>
        <v>4.0659424724602204E-2</v>
      </c>
      <c r="P47" s="61">
        <f t="shared" si="8"/>
        <v>190423369.4701871</v>
      </c>
      <c r="Q47" s="61">
        <f t="shared" si="9"/>
        <v>302795506.20737892</v>
      </c>
      <c r="R47" s="61">
        <f t="shared" si="10"/>
        <v>310833406.18989342</v>
      </c>
      <c r="S47" s="61">
        <f t="shared" si="0"/>
        <v>34849</v>
      </c>
      <c r="T47" s="61">
        <v>34849</v>
      </c>
      <c r="U47" s="61">
        <v>27654</v>
      </c>
      <c r="V47" s="61">
        <v>388</v>
      </c>
      <c r="W47" s="61">
        <v>27004</v>
      </c>
      <c r="X47" s="61"/>
      <c r="Y47" s="61"/>
      <c r="Z47" s="61"/>
      <c r="AA47" s="61"/>
      <c r="AB47" s="61"/>
      <c r="AC47" s="61"/>
      <c r="AD47" s="61">
        <v>55414</v>
      </c>
      <c r="AE47" s="61">
        <v>46373</v>
      </c>
      <c r="AF47" s="61">
        <v>24337</v>
      </c>
      <c r="AG47" s="61">
        <v>341</v>
      </c>
      <c r="AH47" s="61">
        <v>277</v>
      </c>
      <c r="AI47" s="61"/>
      <c r="AJ47" s="61"/>
      <c r="AK47" s="61"/>
      <c r="AL47" s="61">
        <v>64</v>
      </c>
      <c r="AM47" s="61"/>
      <c r="AN47" s="61"/>
      <c r="AO47" s="61">
        <v>0</v>
      </c>
      <c r="AP47" s="61">
        <v>629</v>
      </c>
      <c r="AQ47" s="61">
        <v>23367</v>
      </c>
      <c r="AR47" s="61">
        <v>56885</v>
      </c>
      <c r="AS47" s="61">
        <v>14593</v>
      </c>
      <c r="AT47" s="61">
        <v>10438</v>
      </c>
      <c r="AU47" s="61">
        <v>4155</v>
      </c>
      <c r="AV47" s="61">
        <v>42292</v>
      </c>
      <c r="AW47" s="65">
        <v>7.4409999999999998</v>
      </c>
      <c r="AX47">
        <f t="shared" si="13"/>
        <v>74.41</v>
      </c>
      <c r="AY47" s="78">
        <f t="shared" si="12"/>
        <v>7.441E-7</v>
      </c>
    </row>
    <row r="48" spans="1:55" x14ac:dyDescent="0.25">
      <c r="A48" s="57"/>
      <c r="B48" s="58" t="s">
        <v>107</v>
      </c>
      <c r="C48" s="55"/>
      <c r="D48" s="59" t="s">
        <v>110</v>
      </c>
      <c r="E48" s="59">
        <v>1000000</v>
      </c>
      <c r="F48" s="60">
        <v>1.0000000000000001E-7</v>
      </c>
      <c r="G48" s="61">
        <v>-5456</v>
      </c>
      <c r="H48" s="61">
        <f t="shared" si="1"/>
        <v>-545.6</v>
      </c>
      <c r="I48" s="146">
        <f t="shared" si="2"/>
        <v>8.1129999999999997E-7</v>
      </c>
      <c r="J48" s="61">
        <f t="shared" si="3"/>
        <v>-672500924.44225323</v>
      </c>
      <c r="K48" s="61">
        <f t="shared" si="4"/>
        <v>4099.5</v>
      </c>
      <c r="L48" s="61">
        <f t="shared" si="5"/>
        <v>5773.9000000000005</v>
      </c>
      <c r="M48" s="61">
        <f t="shared" si="6"/>
        <v>6832.3</v>
      </c>
      <c r="N48" s="81">
        <v>1.9958499999999999E-5</v>
      </c>
      <c r="O48" s="80">
        <f t="shared" si="7"/>
        <v>4.0649347395846379E-2</v>
      </c>
      <c r="P48" s="61">
        <f t="shared" si="8"/>
        <v>205401207.50557408</v>
      </c>
      <c r="Q48" s="61">
        <f t="shared" si="9"/>
        <v>289295287.72202325</v>
      </c>
      <c r="R48" s="61">
        <f t="shared" si="10"/>
        <v>342325325.0494777</v>
      </c>
      <c r="S48" s="61">
        <f t="shared" si="0"/>
        <v>40995</v>
      </c>
      <c r="T48" s="61">
        <v>40995</v>
      </c>
      <c r="U48" s="61">
        <v>29501</v>
      </c>
      <c r="V48" s="61">
        <v>326</v>
      </c>
      <c r="W48" s="61">
        <v>28796</v>
      </c>
      <c r="X48" s="61"/>
      <c r="Y48" s="61"/>
      <c r="Z48" s="61"/>
      <c r="AA48" s="61"/>
      <c r="AB48" s="61"/>
      <c r="AC48" s="61"/>
      <c r="AD48" s="61">
        <v>57739</v>
      </c>
      <c r="AE48" s="61">
        <v>52283</v>
      </c>
      <c r="AF48" s="61">
        <v>24955</v>
      </c>
      <c r="AG48" s="61">
        <v>441</v>
      </c>
      <c r="AH48" s="61">
        <v>410</v>
      </c>
      <c r="AI48" s="61"/>
      <c r="AJ48" s="61"/>
      <c r="AK48" s="61"/>
      <c r="AL48" s="61">
        <v>31</v>
      </c>
      <c r="AM48" s="61"/>
      <c r="AN48" s="61"/>
      <c r="AO48" s="61">
        <v>0</v>
      </c>
      <c r="AP48" s="61">
        <v>1696</v>
      </c>
      <c r="AQ48" s="61">
        <v>22818</v>
      </c>
      <c r="AR48" s="61">
        <v>68323</v>
      </c>
      <c r="AS48" s="61">
        <v>17276</v>
      </c>
      <c r="AT48" s="61">
        <v>11904</v>
      </c>
      <c r="AU48" s="61">
        <v>5372</v>
      </c>
      <c r="AV48" s="61">
        <v>51047</v>
      </c>
      <c r="AW48" s="65">
        <v>8.1129999999999995</v>
      </c>
      <c r="AX48">
        <f t="shared" si="13"/>
        <v>81.13</v>
      </c>
      <c r="AY48" s="78">
        <f t="shared" si="12"/>
        <v>8.1129999999999997E-7</v>
      </c>
    </row>
    <row r="49" spans="1:55" x14ac:dyDescent="0.25">
      <c r="A49" s="57"/>
      <c r="B49" s="58" t="s">
        <v>96</v>
      </c>
      <c r="C49" s="55"/>
      <c r="D49" s="59" t="s">
        <v>110</v>
      </c>
      <c r="E49" s="59">
        <v>1000000</v>
      </c>
      <c r="F49" s="60">
        <v>1.0000000000000001E-7</v>
      </c>
      <c r="G49" s="61">
        <v>-2520</v>
      </c>
      <c r="H49" s="61">
        <f t="shared" si="1"/>
        <v>-252.00000000000003</v>
      </c>
      <c r="I49" s="146">
        <f t="shared" si="2"/>
        <v>8.8909999999999999E-7</v>
      </c>
      <c r="J49" s="61">
        <f t="shared" si="3"/>
        <v>-283432684.7373749</v>
      </c>
      <c r="K49" s="61">
        <f t="shared" si="4"/>
        <v>4959.5</v>
      </c>
      <c r="L49" s="61">
        <f t="shared" si="5"/>
        <v>6108.1</v>
      </c>
      <c r="M49" s="61">
        <f t="shared" si="6"/>
        <v>7499.8000000000011</v>
      </c>
      <c r="N49" s="81">
        <v>2.3117900000000001E-5</v>
      </c>
      <c r="O49" s="80">
        <f t="shared" si="7"/>
        <v>3.8459375635330195E-2</v>
      </c>
      <c r="P49" s="61">
        <f t="shared" si="8"/>
        <v>214530731.59759319</v>
      </c>
      <c r="Q49" s="61">
        <f t="shared" si="9"/>
        <v>264215175.25380766</v>
      </c>
      <c r="R49" s="61">
        <f t="shared" si="10"/>
        <v>324415279.93459618</v>
      </c>
      <c r="S49" s="61">
        <f t="shared" si="0"/>
        <v>49595</v>
      </c>
      <c r="T49" s="61">
        <v>49595</v>
      </c>
      <c r="U49" s="61">
        <v>33953</v>
      </c>
      <c r="V49" s="61">
        <v>640</v>
      </c>
      <c r="W49" s="61">
        <v>32789</v>
      </c>
      <c r="X49" s="61"/>
      <c r="Y49" s="61"/>
      <c r="Z49" s="61"/>
      <c r="AA49" s="61"/>
      <c r="AB49" s="61"/>
      <c r="AC49" s="61"/>
      <c r="AD49" s="61">
        <v>61081</v>
      </c>
      <c r="AE49" s="61">
        <v>58561</v>
      </c>
      <c r="AF49" s="61">
        <v>33158</v>
      </c>
      <c r="AG49" s="61">
        <v>2888</v>
      </c>
      <c r="AH49" s="61">
        <v>2863</v>
      </c>
      <c r="AI49" s="61"/>
      <c r="AJ49" s="61"/>
      <c r="AK49" s="61"/>
      <c r="AL49" s="61">
        <v>25</v>
      </c>
      <c r="AM49" s="61"/>
      <c r="AN49" s="61"/>
      <c r="AO49" s="61">
        <v>0</v>
      </c>
      <c r="AP49" s="61">
        <v>2582</v>
      </c>
      <c r="AQ49" s="61">
        <v>27688</v>
      </c>
      <c r="AR49" s="61">
        <v>74998</v>
      </c>
      <c r="AS49" s="61">
        <v>19854</v>
      </c>
      <c r="AT49" s="61">
        <v>13799</v>
      </c>
      <c r="AU49" s="61">
        <v>6055</v>
      </c>
      <c r="AV49" s="61">
        <v>55144</v>
      </c>
      <c r="AW49" s="65">
        <v>8.891</v>
      </c>
      <c r="AX49">
        <f t="shared" si="13"/>
        <v>88.91</v>
      </c>
      <c r="AY49" s="78">
        <f t="shared" si="12"/>
        <v>8.8909999999999999E-7</v>
      </c>
    </row>
    <row r="50" spans="1:55" x14ac:dyDescent="0.25">
      <c r="A50" s="57"/>
      <c r="B50" s="58" t="s">
        <v>97</v>
      </c>
      <c r="C50" s="55"/>
      <c r="D50" s="59" t="s">
        <v>110</v>
      </c>
      <c r="E50" s="59">
        <v>1000000</v>
      </c>
      <c r="F50" s="60">
        <v>1.0000000000000001E-7</v>
      </c>
      <c r="G50" s="61">
        <v>-857</v>
      </c>
      <c r="H50" s="61">
        <f t="shared" si="1"/>
        <v>-85.7</v>
      </c>
      <c r="I50" s="146">
        <f t="shared" si="2"/>
        <v>9.9710000000000016E-7</v>
      </c>
      <c r="J50" s="61">
        <f t="shared" si="3"/>
        <v>-85949252.83321631</v>
      </c>
      <c r="K50" s="61">
        <f t="shared" si="4"/>
        <v>5757.6</v>
      </c>
      <c r="L50" s="61">
        <f t="shared" si="5"/>
        <v>6624.3</v>
      </c>
      <c r="M50" s="61">
        <f t="shared" si="6"/>
        <v>8711.5</v>
      </c>
      <c r="N50" s="81">
        <v>2.59963E-5</v>
      </c>
      <c r="O50" s="80">
        <f t="shared" si="7"/>
        <v>3.8355458276754774E-2</v>
      </c>
      <c r="P50" s="61">
        <f t="shared" si="8"/>
        <v>221477671.8225286</v>
      </c>
      <c r="Q50" s="61">
        <f t="shared" si="9"/>
        <v>254817031.65450469</v>
      </c>
      <c r="R50" s="61">
        <f t="shared" si="10"/>
        <v>335105380.38105422</v>
      </c>
      <c r="S50" s="61">
        <f t="shared" si="0"/>
        <v>57576</v>
      </c>
      <c r="T50" s="61">
        <v>57576</v>
      </c>
      <c r="U50" s="61">
        <v>37873</v>
      </c>
      <c r="V50" s="61">
        <v>817</v>
      </c>
      <c r="W50" s="61">
        <v>36582</v>
      </c>
      <c r="X50" s="61"/>
      <c r="Y50" s="61"/>
      <c r="Z50" s="61"/>
      <c r="AA50" s="61"/>
      <c r="AB50" s="61"/>
      <c r="AC50" s="61"/>
      <c r="AD50" s="61">
        <v>66243</v>
      </c>
      <c r="AE50" s="61">
        <v>65386</v>
      </c>
      <c r="AF50" s="61">
        <v>35847</v>
      </c>
      <c r="AG50" s="61">
        <v>1638</v>
      </c>
      <c r="AH50" s="61">
        <v>1602</v>
      </c>
      <c r="AI50" s="61"/>
      <c r="AJ50" s="61"/>
      <c r="AK50" s="61"/>
      <c r="AL50" s="61">
        <v>36</v>
      </c>
      <c r="AM50" s="61"/>
      <c r="AN50" s="61"/>
      <c r="AO50" s="61">
        <v>0</v>
      </c>
      <c r="AP50" s="61">
        <v>3599</v>
      </c>
      <c r="AQ50" s="61">
        <v>30610</v>
      </c>
      <c r="AR50" s="61">
        <v>87115</v>
      </c>
      <c r="AS50" s="61">
        <v>23404</v>
      </c>
      <c r="AT50" s="61">
        <v>15810</v>
      </c>
      <c r="AU50" s="61">
        <v>7594</v>
      </c>
      <c r="AV50" s="61">
        <v>63711</v>
      </c>
      <c r="AW50" s="65">
        <v>9.9710000000000001</v>
      </c>
      <c r="AX50">
        <f t="shared" si="13"/>
        <v>99.710000000000008</v>
      </c>
      <c r="AY50" s="78">
        <f t="shared" si="12"/>
        <v>9.9710000000000016E-7</v>
      </c>
    </row>
    <row r="51" spans="1:55" x14ac:dyDescent="0.25">
      <c r="A51" s="57"/>
      <c r="B51" s="58" t="s">
        <v>98</v>
      </c>
      <c r="C51" s="55"/>
      <c r="D51" s="59" t="s">
        <v>110</v>
      </c>
      <c r="E51" s="59">
        <v>1000000</v>
      </c>
      <c r="F51" s="60">
        <v>1.0000000000000001E-7</v>
      </c>
      <c r="G51" s="61">
        <v>-4451</v>
      </c>
      <c r="H51" s="61">
        <f t="shared" si="1"/>
        <v>-445.1</v>
      </c>
      <c r="I51" s="146">
        <f t="shared" si="2"/>
        <v>1.1281999999999998E-6</v>
      </c>
      <c r="J51" s="61">
        <f t="shared" si="3"/>
        <v>-394522247.8283993</v>
      </c>
      <c r="K51" s="61">
        <f t="shared" si="4"/>
        <v>7025.4000000000005</v>
      </c>
      <c r="L51" s="61">
        <f t="shared" si="5"/>
        <v>6737.9000000000005</v>
      </c>
      <c r="M51" s="61">
        <f t="shared" si="6"/>
        <v>9280.8000000000011</v>
      </c>
      <c r="N51" s="81">
        <v>3.0479400000000002E-5</v>
      </c>
      <c r="O51" s="80">
        <f t="shared" si="7"/>
        <v>3.7015164340505384E-2</v>
      </c>
      <c r="P51" s="61">
        <f t="shared" si="8"/>
        <v>230496663.32014412</v>
      </c>
      <c r="Q51" s="61">
        <f t="shared" si="9"/>
        <v>221064062.94087154</v>
      </c>
      <c r="R51" s="61">
        <f t="shared" si="10"/>
        <v>304494182.95635742</v>
      </c>
      <c r="S51" s="61">
        <f t="shared" si="0"/>
        <v>70254</v>
      </c>
      <c r="T51" s="61">
        <v>70254</v>
      </c>
      <c r="U51" s="61">
        <v>46253</v>
      </c>
      <c r="V51" s="61">
        <v>1205</v>
      </c>
      <c r="W51" s="61">
        <v>44913</v>
      </c>
      <c r="X51" s="61"/>
      <c r="Y51" s="61"/>
      <c r="Z51" s="61"/>
      <c r="AA51" s="61"/>
      <c r="AB51" s="61"/>
      <c r="AC51" s="61"/>
      <c r="AD51" s="61">
        <v>67379</v>
      </c>
      <c r="AE51" s="61">
        <v>62928</v>
      </c>
      <c r="AF51" s="61">
        <v>40374</v>
      </c>
      <c r="AG51" s="61">
        <v>3279</v>
      </c>
      <c r="AH51" s="61">
        <v>3236</v>
      </c>
      <c r="AI51" s="61"/>
      <c r="AJ51" s="61"/>
      <c r="AK51" s="61"/>
      <c r="AL51" s="61">
        <v>43</v>
      </c>
      <c r="AM51" s="61"/>
      <c r="AN51" s="61"/>
      <c r="AO51" s="61">
        <v>0</v>
      </c>
      <c r="AP51" s="61">
        <v>3674</v>
      </c>
      <c r="AQ51" s="61">
        <v>33421</v>
      </c>
      <c r="AR51" s="61">
        <v>92808</v>
      </c>
      <c r="AS51" s="61">
        <v>24451</v>
      </c>
      <c r="AT51" s="61">
        <v>16395</v>
      </c>
      <c r="AU51" s="61">
        <v>8056</v>
      </c>
      <c r="AV51" s="61">
        <v>68357</v>
      </c>
      <c r="AW51" s="65">
        <v>11.282</v>
      </c>
      <c r="AX51">
        <f t="shared" si="13"/>
        <v>112.82</v>
      </c>
      <c r="AY51" s="78">
        <f t="shared" si="12"/>
        <v>1.1281999999999998E-6</v>
      </c>
    </row>
    <row r="52" spans="1:55" x14ac:dyDescent="0.25">
      <c r="A52" s="57"/>
      <c r="B52" s="58" t="s">
        <v>99</v>
      </c>
      <c r="C52" s="55"/>
      <c r="D52" s="59" t="s">
        <v>110</v>
      </c>
      <c r="E52" s="59">
        <v>1000000</v>
      </c>
      <c r="F52" s="60">
        <v>1.0000000000000001E-7</v>
      </c>
      <c r="G52" s="61">
        <v>-10075</v>
      </c>
      <c r="H52" s="61">
        <f t="shared" si="1"/>
        <v>-1007.5000000000001</v>
      </c>
      <c r="I52" s="146">
        <f t="shared" si="2"/>
        <v>1.3086000000000001E-6</v>
      </c>
      <c r="J52" s="61">
        <f t="shared" si="3"/>
        <v>-769906770.59452856</v>
      </c>
      <c r="K52" s="61">
        <f t="shared" si="4"/>
        <v>8775.7000000000007</v>
      </c>
      <c r="L52" s="61">
        <f t="shared" si="5"/>
        <v>8176.3000000000011</v>
      </c>
      <c r="M52" s="61">
        <f t="shared" si="6"/>
        <v>11048.000000000002</v>
      </c>
      <c r="N52" s="81">
        <v>3.69918E-5</v>
      </c>
      <c r="O52" s="80">
        <f t="shared" si="7"/>
        <v>3.5375407522748287E-2</v>
      </c>
      <c r="P52" s="61">
        <f t="shared" si="8"/>
        <v>237233657.18889052</v>
      </c>
      <c r="Q52" s="61">
        <f t="shared" si="9"/>
        <v>221030066.12276238</v>
      </c>
      <c r="R52" s="61">
        <f t="shared" si="10"/>
        <v>298660784.28192198</v>
      </c>
      <c r="S52" s="61">
        <f t="shared" si="0"/>
        <v>87757</v>
      </c>
      <c r="T52" s="61">
        <v>87757</v>
      </c>
      <c r="U52" s="61">
        <v>56317</v>
      </c>
      <c r="V52" s="61">
        <v>1098</v>
      </c>
      <c r="W52" s="61">
        <v>54906</v>
      </c>
      <c r="X52" s="61"/>
      <c r="Y52" s="61"/>
      <c r="Z52" s="61"/>
      <c r="AA52" s="61"/>
      <c r="AB52" s="61"/>
      <c r="AC52" s="61"/>
      <c r="AD52" s="61">
        <v>81763</v>
      </c>
      <c r="AE52" s="61">
        <v>71688</v>
      </c>
      <c r="AF52" s="61">
        <v>48965</v>
      </c>
      <c r="AG52" s="61">
        <v>4986</v>
      </c>
      <c r="AH52" s="61">
        <v>4947</v>
      </c>
      <c r="AI52" s="61"/>
      <c r="AJ52" s="61"/>
      <c r="AK52" s="61"/>
      <c r="AL52" s="61">
        <v>39</v>
      </c>
      <c r="AM52" s="61"/>
      <c r="AN52" s="61"/>
      <c r="AO52" s="61">
        <v>0</v>
      </c>
      <c r="AP52" s="61">
        <v>8134</v>
      </c>
      <c r="AQ52" s="61">
        <v>35845</v>
      </c>
      <c r="AR52" s="61">
        <v>110480</v>
      </c>
      <c r="AS52" s="61">
        <v>26821</v>
      </c>
      <c r="AT52" s="61">
        <v>19620</v>
      </c>
      <c r="AU52" s="61">
        <v>7201</v>
      </c>
      <c r="AV52" s="61">
        <v>83659</v>
      </c>
      <c r="AW52" s="65">
        <v>13.086</v>
      </c>
      <c r="AX52">
        <f t="shared" si="13"/>
        <v>130.86000000000001</v>
      </c>
      <c r="AY52" s="78">
        <f t="shared" si="12"/>
        <v>1.3086000000000001E-6</v>
      </c>
    </row>
    <row r="53" spans="1:55" x14ac:dyDescent="0.25">
      <c r="A53" s="57"/>
      <c r="B53" s="58" t="s">
        <v>100</v>
      </c>
      <c r="C53" s="55"/>
      <c r="D53" s="59" t="s">
        <v>110</v>
      </c>
      <c r="E53" s="59">
        <v>1000000</v>
      </c>
      <c r="F53" s="60">
        <v>1.0000000000000001E-7</v>
      </c>
      <c r="G53" s="61">
        <v>-7387</v>
      </c>
      <c r="H53" s="61">
        <f t="shared" si="1"/>
        <v>-738.7</v>
      </c>
      <c r="I53" s="146">
        <f t="shared" si="2"/>
        <v>1.5817000000000002E-6</v>
      </c>
      <c r="J53" s="61">
        <f t="shared" si="3"/>
        <v>-467029145.85572481</v>
      </c>
      <c r="K53" s="61">
        <f t="shared" si="4"/>
        <v>10013.200000000001</v>
      </c>
      <c r="L53" s="61">
        <f t="shared" si="5"/>
        <v>8796.5</v>
      </c>
      <c r="M53" s="61">
        <f t="shared" si="6"/>
        <v>13028.2</v>
      </c>
      <c r="N53" s="81">
        <v>4.3269999999999997E-5</v>
      </c>
      <c r="O53" s="80">
        <f t="shared" si="7"/>
        <v>3.6554194592096148E-2</v>
      </c>
      <c r="P53" s="61">
        <f t="shared" si="8"/>
        <v>231412063.78553274</v>
      </c>
      <c r="Q53" s="61">
        <f t="shared" si="9"/>
        <v>203293274.78622603</v>
      </c>
      <c r="R53" s="61">
        <f t="shared" si="10"/>
        <v>301090825.05199909</v>
      </c>
      <c r="S53" s="61">
        <f t="shared" si="0"/>
        <v>100132</v>
      </c>
      <c r="T53" s="61">
        <v>100132</v>
      </c>
      <c r="U53" s="61">
        <v>61207</v>
      </c>
      <c r="V53" s="61">
        <v>5789</v>
      </c>
      <c r="W53" s="61">
        <v>54899</v>
      </c>
      <c r="X53" s="61"/>
      <c r="Y53" s="61"/>
      <c r="Z53" s="61"/>
      <c r="AA53" s="61"/>
      <c r="AB53" s="61"/>
      <c r="AC53" s="61"/>
      <c r="AD53" s="61">
        <v>87965</v>
      </c>
      <c r="AE53" s="61">
        <v>80578</v>
      </c>
      <c r="AF53" s="61">
        <v>50428</v>
      </c>
      <c r="AG53" s="61">
        <v>1444</v>
      </c>
      <c r="AH53" s="61">
        <v>1386</v>
      </c>
      <c r="AI53" s="61"/>
      <c r="AJ53" s="61"/>
      <c r="AK53" s="61"/>
      <c r="AL53" s="61">
        <v>58</v>
      </c>
      <c r="AM53" s="61"/>
      <c r="AN53" s="61"/>
      <c r="AO53" s="61">
        <v>0</v>
      </c>
      <c r="AP53" s="61">
        <v>8143</v>
      </c>
      <c r="AQ53" s="61">
        <v>40841</v>
      </c>
      <c r="AR53" s="61">
        <v>130282</v>
      </c>
      <c r="AS53" s="61">
        <v>33973</v>
      </c>
      <c r="AT53" s="61">
        <v>22619</v>
      </c>
      <c r="AU53" s="61">
        <v>11354</v>
      </c>
      <c r="AV53" s="61">
        <v>96309</v>
      </c>
      <c r="AW53" s="65">
        <v>15.817</v>
      </c>
      <c r="AX53">
        <f t="shared" si="13"/>
        <v>158.17000000000002</v>
      </c>
      <c r="AY53" s="78">
        <f t="shared" si="12"/>
        <v>1.5817000000000002E-6</v>
      </c>
    </row>
    <row r="54" spans="1:55" x14ac:dyDescent="0.25">
      <c r="A54" s="57"/>
      <c r="B54" s="58" t="s">
        <v>101</v>
      </c>
      <c r="C54" s="55"/>
      <c r="D54" s="59" t="s">
        <v>110</v>
      </c>
      <c r="E54" s="59">
        <v>1000000</v>
      </c>
      <c r="F54" s="60">
        <v>1.0000000000000001E-7</v>
      </c>
      <c r="G54" s="61">
        <v>-4732</v>
      </c>
      <c r="H54" s="61">
        <f t="shared" si="1"/>
        <v>-473.20000000000005</v>
      </c>
      <c r="I54" s="146">
        <f t="shared" si="2"/>
        <v>1.9292000000000001E-6</v>
      </c>
      <c r="J54" s="61">
        <f t="shared" si="3"/>
        <v>-245283018.86792454</v>
      </c>
      <c r="K54" s="61">
        <f t="shared" si="4"/>
        <v>12299.1</v>
      </c>
      <c r="L54" s="61">
        <f t="shared" si="5"/>
        <v>9110</v>
      </c>
      <c r="M54" s="61">
        <f t="shared" si="6"/>
        <v>15155.7</v>
      </c>
      <c r="N54" s="81">
        <v>5.1593099999999999E-5</v>
      </c>
      <c r="O54" s="80">
        <f t="shared" si="7"/>
        <v>3.7392597072089098E-2</v>
      </c>
      <c r="P54" s="61">
        <f t="shared" si="8"/>
        <v>238386528.43112743</v>
      </c>
      <c r="Q54" s="61">
        <f t="shared" si="9"/>
        <v>176573999.236332</v>
      </c>
      <c r="R54" s="61">
        <f t="shared" si="10"/>
        <v>293754397.39034873</v>
      </c>
      <c r="S54" s="61">
        <f t="shared" si="0"/>
        <v>122991</v>
      </c>
      <c r="T54" s="61">
        <v>122991</v>
      </c>
      <c r="U54" s="61">
        <v>74044</v>
      </c>
      <c r="V54" s="61">
        <v>1712</v>
      </c>
      <c r="W54" s="61">
        <v>71491</v>
      </c>
      <c r="X54" s="61"/>
      <c r="Y54" s="61"/>
      <c r="Z54" s="61"/>
      <c r="AA54" s="61"/>
      <c r="AB54" s="61"/>
      <c r="AC54" s="61"/>
      <c r="AD54" s="61">
        <v>91100</v>
      </c>
      <c r="AE54" s="61">
        <v>86368</v>
      </c>
      <c r="AF54" s="61">
        <v>57802</v>
      </c>
      <c r="AG54" s="61">
        <v>2367</v>
      </c>
      <c r="AH54" s="61">
        <v>2329</v>
      </c>
      <c r="AI54" s="61"/>
      <c r="AJ54" s="61"/>
      <c r="AK54" s="61"/>
      <c r="AL54" s="61">
        <v>38</v>
      </c>
      <c r="AM54" s="61"/>
      <c r="AN54" s="61"/>
      <c r="AO54" s="61">
        <v>0</v>
      </c>
      <c r="AP54" s="61">
        <v>8570</v>
      </c>
      <c r="AQ54" s="61">
        <v>46865</v>
      </c>
      <c r="AR54" s="61">
        <v>151557</v>
      </c>
      <c r="AS54" s="61">
        <v>42683</v>
      </c>
      <c r="AT54" s="61">
        <v>27234</v>
      </c>
      <c r="AU54" s="61">
        <v>15449</v>
      </c>
      <c r="AV54" s="61">
        <v>108874</v>
      </c>
      <c r="AW54" s="65">
        <v>19.292000000000002</v>
      </c>
      <c r="AX54">
        <f t="shared" si="13"/>
        <v>192.92000000000002</v>
      </c>
      <c r="AY54" s="78">
        <f t="shared" si="12"/>
        <v>1.9292000000000001E-6</v>
      </c>
    </row>
    <row r="55" spans="1:55" x14ac:dyDescent="0.25">
      <c r="A55" s="57"/>
      <c r="B55" s="58" t="s">
        <v>102</v>
      </c>
      <c r="C55" s="55"/>
      <c r="D55" s="59" t="s">
        <v>110</v>
      </c>
      <c r="E55" s="59">
        <v>1000000</v>
      </c>
      <c r="F55" s="60">
        <v>1.0000000000000001E-7</v>
      </c>
      <c r="G55" s="61">
        <v>-29608</v>
      </c>
      <c r="H55" s="61">
        <f t="shared" si="1"/>
        <v>-2960.8</v>
      </c>
      <c r="I55" s="146">
        <f t="shared" si="2"/>
        <v>2.3271000000000001E-6</v>
      </c>
      <c r="J55" s="61">
        <f t="shared" si="3"/>
        <v>-1272313179.4937906</v>
      </c>
      <c r="K55" s="61">
        <f t="shared" si="4"/>
        <v>16664.400000000001</v>
      </c>
      <c r="L55" s="61">
        <f t="shared" si="5"/>
        <v>13939.2</v>
      </c>
      <c r="M55" s="61">
        <f t="shared" si="6"/>
        <v>19764.600000000002</v>
      </c>
      <c r="N55" s="81">
        <v>6.0724699999999998E-5</v>
      </c>
      <c r="O55" s="80">
        <f t="shared" si="7"/>
        <v>3.8322132509506023E-2</v>
      </c>
      <c r="P55" s="61">
        <f t="shared" si="8"/>
        <v>274425398.56104684</v>
      </c>
      <c r="Q55" s="61">
        <f t="shared" si="9"/>
        <v>229547449.39044574</v>
      </c>
      <c r="R55" s="61">
        <f t="shared" si="10"/>
        <v>325478759.05521154</v>
      </c>
      <c r="S55" s="61">
        <f t="shared" si="0"/>
        <v>166644</v>
      </c>
      <c r="T55" s="61">
        <v>166644</v>
      </c>
      <c r="U55" s="61">
        <v>137330</v>
      </c>
      <c r="V55" s="61">
        <v>7127</v>
      </c>
      <c r="W55" s="61">
        <v>129853</v>
      </c>
      <c r="X55" s="61"/>
      <c r="Y55" s="61"/>
      <c r="Z55" s="61"/>
      <c r="AA55" s="61"/>
      <c r="AB55" s="61"/>
      <c r="AC55" s="61"/>
      <c r="AD55" s="61">
        <v>139392</v>
      </c>
      <c r="AE55" s="61">
        <v>109784</v>
      </c>
      <c r="AF55" s="61">
        <v>78782</v>
      </c>
      <c r="AG55" s="61">
        <v>7598</v>
      </c>
      <c r="AH55" s="61">
        <v>7533</v>
      </c>
      <c r="AI55" s="61"/>
      <c r="AJ55" s="61"/>
      <c r="AK55" s="61"/>
      <c r="AL55" s="61">
        <v>65</v>
      </c>
      <c r="AM55" s="61"/>
      <c r="AN55" s="61"/>
      <c r="AO55" s="61">
        <v>0</v>
      </c>
      <c r="AP55" s="61">
        <v>4296</v>
      </c>
      <c r="AQ55" s="61">
        <v>66888</v>
      </c>
      <c r="AR55" s="61">
        <v>197646</v>
      </c>
      <c r="AS55" s="61">
        <v>66138</v>
      </c>
      <c r="AT55" s="61">
        <v>45516</v>
      </c>
      <c r="AU55" s="61">
        <v>20622</v>
      </c>
      <c r="AV55" s="61">
        <v>131508</v>
      </c>
      <c r="AW55" s="65">
        <v>23.271000000000001</v>
      </c>
      <c r="AX55">
        <f t="shared" si="13"/>
        <v>232.71</v>
      </c>
      <c r="AY55" s="78">
        <f t="shared" si="12"/>
        <v>2.3271000000000001E-6</v>
      </c>
      <c r="BA55" s="68">
        <v>1983</v>
      </c>
      <c r="BB55" s="70">
        <v>1.573E-6</v>
      </c>
      <c r="BC55">
        <f>+BB55*100000000</f>
        <v>157.30000000000001</v>
      </c>
    </row>
    <row r="56" spans="1:55" x14ac:dyDescent="0.25">
      <c r="A56" s="62">
        <v>1984.01</v>
      </c>
      <c r="B56" s="58" t="s">
        <v>108</v>
      </c>
      <c r="C56" s="55"/>
      <c r="D56" s="59" t="s">
        <v>110</v>
      </c>
      <c r="E56" s="59">
        <v>1000000</v>
      </c>
      <c r="F56" s="60">
        <v>1.0000000000000001E-7</v>
      </c>
      <c r="G56" s="61">
        <v>-16634</v>
      </c>
      <c r="H56" s="61">
        <f t="shared" si="1"/>
        <v>-1663.4</v>
      </c>
      <c r="I56" s="146">
        <f t="shared" si="2"/>
        <v>2.6313999999999999E-6</v>
      </c>
      <c r="J56" s="61">
        <f t="shared" si="3"/>
        <v>-632134985.17899227</v>
      </c>
      <c r="K56" s="61">
        <f t="shared" si="4"/>
        <v>22547.7</v>
      </c>
      <c r="L56" s="61">
        <f t="shared" si="5"/>
        <v>13590.1</v>
      </c>
      <c r="M56" s="61">
        <f t="shared" si="6"/>
        <v>22647.9</v>
      </c>
      <c r="N56" s="82">
        <v>6.8338999999999997E-5</v>
      </c>
      <c r="O56" s="80">
        <f t="shared" si="7"/>
        <v>3.8505099577108237E-2</v>
      </c>
      <c r="P56" s="61">
        <f t="shared" si="8"/>
        <v>329938980.66989571</v>
      </c>
      <c r="Q56" s="61">
        <f t="shared" si="9"/>
        <v>198863021.11532214</v>
      </c>
      <c r="R56" s="61">
        <f t="shared" si="10"/>
        <v>331405200.54434514</v>
      </c>
      <c r="S56" s="61">
        <f t="shared" si="0"/>
        <v>225477</v>
      </c>
      <c r="T56" s="61">
        <v>225477</v>
      </c>
      <c r="U56" s="61">
        <v>153343</v>
      </c>
      <c r="V56" s="61">
        <v>9433</v>
      </c>
      <c r="W56" s="61">
        <v>143686</v>
      </c>
      <c r="X56" s="61"/>
      <c r="Y56" s="61"/>
      <c r="Z56" s="61"/>
      <c r="AA56" s="61"/>
      <c r="AB56" s="61"/>
      <c r="AC56" s="61"/>
      <c r="AD56" s="61">
        <v>135901</v>
      </c>
      <c r="AE56" s="61">
        <v>119267</v>
      </c>
      <c r="AF56" s="61">
        <v>118265</v>
      </c>
      <c r="AG56" s="61">
        <v>9604</v>
      </c>
      <c r="AH56" s="61">
        <v>9540</v>
      </c>
      <c r="AI56" s="61"/>
      <c r="AJ56" s="61"/>
      <c r="AK56" s="61"/>
      <c r="AL56" s="61">
        <v>64</v>
      </c>
      <c r="AM56" s="61"/>
      <c r="AN56" s="61"/>
      <c r="AO56" s="61">
        <v>0</v>
      </c>
      <c r="AP56" s="61">
        <v>4549</v>
      </c>
      <c r="AQ56" s="61">
        <v>104112</v>
      </c>
      <c r="AR56" s="61">
        <v>226479</v>
      </c>
      <c r="AS56" s="61">
        <v>73403</v>
      </c>
      <c r="AT56" s="61">
        <v>48082</v>
      </c>
      <c r="AU56" s="61">
        <v>25321</v>
      </c>
      <c r="AV56" s="61">
        <v>153076</v>
      </c>
      <c r="AW56" s="65">
        <v>26.314</v>
      </c>
      <c r="AX56">
        <f t="shared" si="13"/>
        <v>263.14</v>
      </c>
      <c r="AY56" s="78">
        <f t="shared" si="12"/>
        <v>2.6313999999999999E-6</v>
      </c>
    </row>
    <row r="57" spans="1:55" x14ac:dyDescent="0.25">
      <c r="A57" s="57"/>
      <c r="B57" s="58" t="s">
        <v>104</v>
      </c>
      <c r="C57" s="55"/>
      <c r="D57" s="59" t="s">
        <v>110</v>
      </c>
      <c r="E57" s="59">
        <v>1000000</v>
      </c>
      <c r="F57" s="60">
        <v>1.0000000000000001E-7</v>
      </c>
      <c r="G57" s="61">
        <v>-12256</v>
      </c>
      <c r="H57" s="61">
        <f t="shared" si="1"/>
        <v>-1225.6000000000001</v>
      </c>
      <c r="I57" s="146">
        <f t="shared" si="2"/>
        <v>2.9071999999999999E-6</v>
      </c>
      <c r="J57" s="61">
        <f t="shared" si="3"/>
        <v>-421574023.11502481</v>
      </c>
      <c r="K57" s="61">
        <f t="shared" si="4"/>
        <v>21434.300000000003</v>
      </c>
      <c r="L57" s="61">
        <f t="shared" si="5"/>
        <v>14423.300000000001</v>
      </c>
      <c r="M57" s="61">
        <f t="shared" si="6"/>
        <v>26317.300000000003</v>
      </c>
      <c r="N57" s="82">
        <v>7.9921999999999998E-5</v>
      </c>
      <c r="O57" s="80">
        <f t="shared" si="7"/>
        <v>3.6375466079427439E-2</v>
      </c>
      <c r="P57" s="61">
        <f t="shared" si="8"/>
        <v>268190235.47959265</v>
      </c>
      <c r="Q57" s="61">
        <f t="shared" si="9"/>
        <v>180467205.52538726</v>
      </c>
      <c r="R57" s="61">
        <f t="shared" si="10"/>
        <v>329287305.12249446</v>
      </c>
      <c r="S57" s="61">
        <f t="shared" si="0"/>
        <v>214343</v>
      </c>
      <c r="T57" s="61">
        <v>214343</v>
      </c>
      <c r="U57" s="61">
        <v>156427</v>
      </c>
      <c r="V57" s="61">
        <v>2309</v>
      </c>
      <c r="W57" s="61">
        <v>153679</v>
      </c>
      <c r="X57" s="61"/>
      <c r="Y57" s="61"/>
      <c r="Z57" s="61"/>
      <c r="AA57" s="61"/>
      <c r="AB57" s="61"/>
      <c r="AC57" s="61"/>
      <c r="AD57" s="61">
        <v>144233</v>
      </c>
      <c r="AE57" s="61">
        <v>131977</v>
      </c>
      <c r="AF57" s="61">
        <v>83147</v>
      </c>
      <c r="AG57" s="61">
        <v>347</v>
      </c>
      <c r="AH57" s="61">
        <v>189</v>
      </c>
      <c r="AI57" s="61"/>
      <c r="AJ57" s="61"/>
      <c r="AK57" s="61"/>
      <c r="AL57" s="61">
        <v>158</v>
      </c>
      <c r="AM57" s="61"/>
      <c r="AN57" s="61"/>
      <c r="AO57" s="61">
        <v>0</v>
      </c>
      <c r="AP57" s="61">
        <v>6305</v>
      </c>
      <c r="AQ57" s="61">
        <v>76495</v>
      </c>
      <c r="AR57" s="61">
        <v>263173</v>
      </c>
      <c r="AS57" s="61">
        <v>85946</v>
      </c>
      <c r="AT57" s="61">
        <v>54672</v>
      </c>
      <c r="AU57" s="61">
        <v>31274</v>
      </c>
      <c r="AV57" s="61">
        <v>177227</v>
      </c>
      <c r="AW57" s="65">
        <v>29.071999999999999</v>
      </c>
      <c r="AX57">
        <f t="shared" si="13"/>
        <v>290.71999999999997</v>
      </c>
      <c r="AY57" s="78">
        <f t="shared" si="12"/>
        <v>2.9071999999999999E-6</v>
      </c>
    </row>
    <row r="58" spans="1:55" x14ac:dyDescent="0.25">
      <c r="A58" s="57"/>
      <c r="B58" s="58" t="s">
        <v>105</v>
      </c>
      <c r="C58" s="55"/>
      <c r="D58" s="59" t="s">
        <v>110</v>
      </c>
      <c r="E58" s="59">
        <v>1000000</v>
      </c>
      <c r="F58" s="60">
        <v>1.0000000000000001E-7</v>
      </c>
      <c r="G58" s="61">
        <v>-5960</v>
      </c>
      <c r="H58" s="61">
        <f t="shared" si="1"/>
        <v>-596</v>
      </c>
      <c r="I58" s="146">
        <f t="shared" si="2"/>
        <v>3.2734000000000003E-6</v>
      </c>
      <c r="J58" s="61">
        <f t="shared" si="3"/>
        <v>-182073684.85366896</v>
      </c>
      <c r="K58" s="61">
        <f t="shared" si="4"/>
        <v>24748.000000000004</v>
      </c>
      <c r="L58" s="61">
        <f t="shared" si="5"/>
        <v>15241.800000000001</v>
      </c>
      <c r="M58" s="61">
        <f t="shared" si="6"/>
        <v>30691.100000000002</v>
      </c>
      <c r="N58" s="82">
        <v>9.6124000000000003E-5</v>
      </c>
      <c r="O58" s="80">
        <f t="shared" si="7"/>
        <v>3.4053930339977528E-2</v>
      </c>
      <c r="P58" s="61">
        <f t="shared" si="8"/>
        <v>257459115.30939206</v>
      </c>
      <c r="Q58" s="61">
        <f t="shared" si="9"/>
        <v>158563938.24643171</v>
      </c>
      <c r="R58" s="61">
        <f t="shared" si="10"/>
        <v>319286546.5440473</v>
      </c>
      <c r="S58" s="61">
        <f t="shared" si="0"/>
        <v>247480</v>
      </c>
      <c r="T58" s="61">
        <v>247480</v>
      </c>
      <c r="U58" s="61">
        <v>171103</v>
      </c>
      <c r="V58" s="61">
        <v>6666</v>
      </c>
      <c r="W58" s="61">
        <v>163672</v>
      </c>
      <c r="X58" s="61"/>
      <c r="Y58" s="61"/>
      <c r="Z58" s="61"/>
      <c r="AA58" s="61"/>
      <c r="AB58" s="61"/>
      <c r="AC58" s="61"/>
      <c r="AD58" s="61">
        <v>152418</v>
      </c>
      <c r="AE58" s="61">
        <v>146458</v>
      </c>
      <c r="AF58" s="61">
        <v>87027</v>
      </c>
      <c r="AG58" s="61">
        <v>613</v>
      </c>
      <c r="AH58" s="61">
        <v>540</v>
      </c>
      <c r="AI58" s="61"/>
      <c r="AJ58" s="61"/>
      <c r="AK58" s="61"/>
      <c r="AL58" s="61">
        <v>73</v>
      </c>
      <c r="AM58" s="61"/>
      <c r="AN58" s="61"/>
      <c r="AO58" s="61">
        <v>0</v>
      </c>
      <c r="AP58" s="61">
        <v>5500</v>
      </c>
      <c r="AQ58" s="61">
        <v>80914</v>
      </c>
      <c r="AR58" s="61">
        <v>306911</v>
      </c>
      <c r="AS58" s="61">
        <v>96655</v>
      </c>
      <c r="AT58" s="61">
        <v>65164</v>
      </c>
      <c r="AU58" s="61">
        <v>31491</v>
      </c>
      <c r="AV58" s="61">
        <v>210256</v>
      </c>
      <c r="AW58" s="65">
        <v>32.734000000000002</v>
      </c>
      <c r="AX58">
        <f t="shared" si="13"/>
        <v>327.34000000000003</v>
      </c>
      <c r="AY58" s="78">
        <f t="shared" si="12"/>
        <v>3.2734000000000003E-6</v>
      </c>
    </row>
    <row r="59" spans="1:55" x14ac:dyDescent="0.25">
      <c r="A59" s="57"/>
      <c r="B59" s="58" t="s">
        <v>106</v>
      </c>
      <c r="C59" s="55"/>
      <c r="D59" s="59" t="s">
        <v>110</v>
      </c>
      <c r="E59" s="59">
        <v>1000000</v>
      </c>
      <c r="F59" s="60">
        <v>1.0000000000000001E-7</v>
      </c>
      <c r="G59" s="61">
        <v>8383</v>
      </c>
      <c r="H59" s="61">
        <f t="shared" si="1"/>
        <v>838.30000000000007</v>
      </c>
      <c r="I59" s="146">
        <f t="shared" si="2"/>
        <v>3.7535999999999999E-6</v>
      </c>
      <c r="J59" s="61">
        <f t="shared" si="3"/>
        <v>223332267.6896846</v>
      </c>
      <c r="K59" s="61">
        <f t="shared" si="4"/>
        <v>28113.600000000002</v>
      </c>
      <c r="L59" s="61">
        <f t="shared" si="5"/>
        <v>15955.500000000002</v>
      </c>
      <c r="M59" s="61">
        <f t="shared" si="6"/>
        <v>35261.100000000006</v>
      </c>
      <c r="N59" s="82">
        <v>1.13919E-4</v>
      </c>
      <c r="O59" s="80">
        <f t="shared" si="7"/>
        <v>3.294972743791641E-2</v>
      </c>
      <c r="P59" s="61">
        <f t="shared" si="8"/>
        <v>246785874.17375505</v>
      </c>
      <c r="Q59" s="61">
        <f t="shared" si="9"/>
        <v>140060042.66189134</v>
      </c>
      <c r="R59" s="61">
        <f t="shared" si="10"/>
        <v>309527822.40012646</v>
      </c>
      <c r="S59" s="61">
        <f t="shared" si="0"/>
        <v>281136</v>
      </c>
      <c r="T59" s="61">
        <v>281136</v>
      </c>
      <c r="U59" s="61">
        <v>182870</v>
      </c>
      <c r="V59" s="61">
        <v>8022</v>
      </c>
      <c r="W59" s="61">
        <v>173664</v>
      </c>
      <c r="X59" s="61"/>
      <c r="Y59" s="61"/>
      <c r="Z59" s="61"/>
      <c r="AA59" s="61"/>
      <c r="AB59" s="61"/>
      <c r="AC59" s="61"/>
      <c r="AD59" s="61">
        <v>159555</v>
      </c>
      <c r="AE59" s="61">
        <v>167938</v>
      </c>
      <c r="AF59" s="61">
        <v>96463</v>
      </c>
      <c r="AG59" s="61">
        <v>1852</v>
      </c>
      <c r="AH59" s="61">
        <v>1725</v>
      </c>
      <c r="AI59" s="61"/>
      <c r="AJ59" s="61"/>
      <c r="AK59" s="61"/>
      <c r="AL59" s="61">
        <v>127</v>
      </c>
      <c r="AM59" s="61"/>
      <c r="AN59" s="61"/>
      <c r="AO59" s="61">
        <v>0</v>
      </c>
      <c r="AP59" s="61">
        <v>5903</v>
      </c>
      <c r="AQ59" s="61">
        <v>88708</v>
      </c>
      <c r="AR59" s="61">
        <v>352611</v>
      </c>
      <c r="AS59" s="61">
        <v>114359</v>
      </c>
      <c r="AT59" s="61">
        <v>72815</v>
      </c>
      <c r="AU59" s="61">
        <v>41544</v>
      </c>
      <c r="AV59" s="61">
        <v>238252</v>
      </c>
      <c r="AW59" s="65">
        <v>37.536000000000001</v>
      </c>
      <c r="AX59">
        <f t="shared" si="13"/>
        <v>375.36</v>
      </c>
      <c r="AY59" s="78">
        <f t="shared" si="12"/>
        <v>3.7535999999999999E-6</v>
      </c>
    </row>
    <row r="60" spans="1:55" x14ac:dyDescent="0.25">
      <c r="A60" s="57"/>
      <c r="B60" s="58" t="s">
        <v>107</v>
      </c>
      <c r="C60" s="55"/>
      <c r="D60" s="59" t="s">
        <v>110</v>
      </c>
      <c r="E60" s="59">
        <v>1000000</v>
      </c>
      <c r="F60" s="60">
        <v>1.0000000000000001E-7</v>
      </c>
      <c r="G60" s="61">
        <v>17495</v>
      </c>
      <c r="H60" s="61">
        <f t="shared" si="1"/>
        <v>1749.5000000000002</v>
      </c>
      <c r="I60" s="146">
        <f t="shared" si="2"/>
        <v>4.4003999999999994E-6</v>
      </c>
      <c r="J60" s="61">
        <f t="shared" si="3"/>
        <v>397577492.95518601</v>
      </c>
      <c r="K60" s="61">
        <f t="shared" si="4"/>
        <v>31522.600000000002</v>
      </c>
      <c r="L60" s="61">
        <f t="shared" si="5"/>
        <v>18307.600000000002</v>
      </c>
      <c r="M60" s="61">
        <f t="shared" si="6"/>
        <v>38206</v>
      </c>
      <c r="N60" s="82">
        <v>1.3336899999999999E-4</v>
      </c>
      <c r="O60" s="80">
        <f t="shared" si="7"/>
        <v>3.2994174058439366E-2</v>
      </c>
      <c r="P60" s="61">
        <f t="shared" si="8"/>
        <v>236356274.69651872</v>
      </c>
      <c r="Q60" s="61">
        <f t="shared" si="9"/>
        <v>137270280.20004651</v>
      </c>
      <c r="R60" s="61">
        <f t="shared" si="10"/>
        <v>286468369.71110231</v>
      </c>
      <c r="S60" s="61">
        <f t="shared" si="0"/>
        <v>315226</v>
      </c>
      <c r="T60" s="61">
        <v>315226</v>
      </c>
      <c r="U60" s="61">
        <v>196787</v>
      </c>
      <c r="V60" s="61">
        <v>6085</v>
      </c>
      <c r="W60" s="61">
        <v>189080</v>
      </c>
      <c r="X60" s="61"/>
      <c r="Y60" s="61"/>
      <c r="Z60" s="61"/>
      <c r="AA60" s="61"/>
      <c r="AB60" s="61"/>
      <c r="AC60" s="61"/>
      <c r="AD60" s="61">
        <v>183076</v>
      </c>
      <c r="AE60" s="61">
        <v>200571</v>
      </c>
      <c r="AF60" s="61">
        <v>133737</v>
      </c>
      <c r="AG60" s="61">
        <v>1313</v>
      </c>
      <c r="AH60" s="61">
        <v>1227</v>
      </c>
      <c r="AI60" s="61"/>
      <c r="AJ60" s="61"/>
      <c r="AK60" s="61"/>
      <c r="AL60" s="61">
        <v>86</v>
      </c>
      <c r="AM60" s="61"/>
      <c r="AN60" s="61"/>
      <c r="AO60" s="61">
        <v>0</v>
      </c>
      <c r="AP60" s="61">
        <v>6430</v>
      </c>
      <c r="AQ60" s="61">
        <v>125994</v>
      </c>
      <c r="AR60" s="61">
        <v>382060</v>
      </c>
      <c r="AS60" s="61">
        <v>128475</v>
      </c>
      <c r="AT60" s="61">
        <v>81640</v>
      </c>
      <c r="AU60" s="61">
        <v>46835</v>
      </c>
      <c r="AV60" s="61">
        <v>253585</v>
      </c>
      <c r="AW60" s="65">
        <v>44.003999999999998</v>
      </c>
      <c r="AX60">
        <f t="shared" si="13"/>
        <v>440.03999999999996</v>
      </c>
      <c r="AY60" s="78">
        <f t="shared" si="12"/>
        <v>4.4003999999999994E-6</v>
      </c>
    </row>
    <row r="61" spans="1:55" x14ac:dyDescent="0.25">
      <c r="A61" s="57"/>
      <c r="B61" s="58" t="s">
        <v>96</v>
      </c>
      <c r="C61" s="55"/>
      <c r="D61" s="59" t="s">
        <v>110</v>
      </c>
      <c r="E61" s="59">
        <v>1000000</v>
      </c>
      <c r="F61" s="60">
        <v>1.0000000000000001E-7</v>
      </c>
      <c r="G61" s="61">
        <v>29114</v>
      </c>
      <c r="H61" s="61">
        <f t="shared" si="1"/>
        <v>2911.4</v>
      </c>
      <c r="I61" s="146">
        <f t="shared" si="2"/>
        <v>5.1267000000000004E-6</v>
      </c>
      <c r="J61" s="61">
        <f t="shared" si="3"/>
        <v>567889675.61979437</v>
      </c>
      <c r="K61" s="61">
        <f t="shared" si="4"/>
        <v>36129.300000000003</v>
      </c>
      <c r="L61" s="61">
        <f t="shared" si="5"/>
        <v>21372.7</v>
      </c>
      <c r="M61" s="61">
        <f t="shared" si="6"/>
        <v>45108.000000000007</v>
      </c>
      <c r="N61" s="82">
        <v>1.57252E-4</v>
      </c>
      <c r="O61" s="80">
        <f t="shared" si="7"/>
        <v>3.2601811105741105E-2</v>
      </c>
      <c r="P61" s="61">
        <f t="shared" si="8"/>
        <v>229754152.57039657</v>
      </c>
      <c r="Q61" s="61">
        <f t="shared" si="9"/>
        <v>135913692.67163533</v>
      </c>
      <c r="R61" s="61">
        <f t="shared" si="10"/>
        <v>286851677.56212962</v>
      </c>
      <c r="S61" s="61">
        <f t="shared" si="0"/>
        <v>361293</v>
      </c>
      <c r="T61" s="61">
        <v>361293</v>
      </c>
      <c r="U61" s="61">
        <v>226885</v>
      </c>
      <c r="V61" s="61">
        <v>612</v>
      </c>
      <c r="W61" s="61">
        <v>224073</v>
      </c>
      <c r="X61" s="61"/>
      <c r="Y61" s="61"/>
      <c r="Z61" s="61"/>
      <c r="AA61" s="61"/>
      <c r="AB61" s="61"/>
      <c r="AC61" s="61"/>
      <c r="AD61" s="61">
        <v>213727</v>
      </c>
      <c r="AE61" s="61">
        <v>242841</v>
      </c>
      <c r="AF61" s="61">
        <v>153054</v>
      </c>
      <c r="AG61" s="61">
        <v>6665</v>
      </c>
      <c r="AH61" s="61">
        <v>6438</v>
      </c>
      <c r="AI61" s="61"/>
      <c r="AJ61" s="61"/>
      <c r="AK61" s="61"/>
      <c r="AL61" s="61">
        <v>227</v>
      </c>
      <c r="AM61" s="61"/>
      <c r="AN61" s="61"/>
      <c r="AO61" s="61">
        <v>0</v>
      </c>
      <c r="AP61" s="61">
        <v>6889</v>
      </c>
      <c r="AQ61" s="61">
        <v>139500</v>
      </c>
      <c r="AR61" s="61">
        <v>451080</v>
      </c>
      <c r="AS61" s="61">
        <v>160313</v>
      </c>
      <c r="AT61" s="61">
        <v>108131</v>
      </c>
      <c r="AU61" s="61">
        <v>52182</v>
      </c>
      <c r="AV61" s="61">
        <v>290767</v>
      </c>
      <c r="AW61" s="65">
        <v>51.267000000000003</v>
      </c>
      <c r="AX61">
        <f t="shared" si="13"/>
        <v>512.67000000000007</v>
      </c>
      <c r="AY61" s="78">
        <f t="shared" si="12"/>
        <v>5.1267000000000004E-6</v>
      </c>
    </row>
    <row r="62" spans="1:55" x14ac:dyDescent="0.25">
      <c r="A62" s="57"/>
      <c r="B62" s="58" t="s">
        <v>97</v>
      </c>
      <c r="C62" s="55"/>
      <c r="D62" s="59" t="s">
        <v>110</v>
      </c>
      <c r="E62" s="59">
        <v>1000000</v>
      </c>
      <c r="F62" s="60">
        <v>1.0000000000000001E-7</v>
      </c>
      <c r="G62" s="61">
        <v>33241</v>
      </c>
      <c r="H62" s="61">
        <f t="shared" si="1"/>
        <v>3324.1000000000004</v>
      </c>
      <c r="I62" s="146">
        <f t="shared" si="2"/>
        <v>6.1771000000000005E-6</v>
      </c>
      <c r="J62" s="61">
        <f t="shared" si="3"/>
        <v>538132780.75472307</v>
      </c>
      <c r="K62" s="61">
        <f t="shared" si="4"/>
        <v>42167.3</v>
      </c>
      <c r="L62" s="61">
        <f t="shared" si="5"/>
        <v>25391.9</v>
      </c>
      <c r="M62" s="61">
        <f t="shared" si="6"/>
        <v>50355.8</v>
      </c>
      <c r="N62" s="82">
        <v>1.8600499999999999E-4</v>
      </c>
      <c r="O62" s="80">
        <f t="shared" si="7"/>
        <v>3.3209322330044894E-2</v>
      </c>
      <c r="P62" s="61">
        <f t="shared" si="8"/>
        <v>226699819.89731461</v>
      </c>
      <c r="Q62" s="61">
        <f t="shared" si="9"/>
        <v>136511921.72253436</v>
      </c>
      <c r="R62" s="61">
        <f t="shared" si="10"/>
        <v>270722830.03145081</v>
      </c>
      <c r="S62" s="61">
        <f t="shared" si="0"/>
        <v>421673</v>
      </c>
      <c r="T62" s="61">
        <v>421673</v>
      </c>
      <c r="U62" s="61">
        <v>258613</v>
      </c>
      <c r="V62" s="61">
        <v>6965</v>
      </c>
      <c r="W62" s="61">
        <v>248822</v>
      </c>
      <c r="X62" s="61"/>
      <c r="Y62" s="61"/>
      <c r="Z62" s="61"/>
      <c r="AA62" s="61"/>
      <c r="AB62" s="61"/>
      <c r="AC62" s="61"/>
      <c r="AD62" s="61">
        <v>253919</v>
      </c>
      <c r="AE62" s="61">
        <v>287160</v>
      </c>
      <c r="AF62" s="61">
        <v>205275</v>
      </c>
      <c r="AG62" s="61">
        <v>12550</v>
      </c>
      <c r="AH62" s="61">
        <v>12382</v>
      </c>
      <c r="AI62" s="61"/>
      <c r="AJ62" s="61"/>
      <c r="AK62" s="61"/>
      <c r="AL62" s="61">
        <v>168</v>
      </c>
      <c r="AM62" s="61"/>
      <c r="AN62" s="61"/>
      <c r="AO62" s="61">
        <v>0</v>
      </c>
      <c r="AP62" s="61">
        <v>6948</v>
      </c>
      <c r="AQ62" s="61">
        <v>185777</v>
      </c>
      <c r="AR62" s="61">
        <v>503558</v>
      </c>
      <c r="AS62" s="61">
        <v>184032</v>
      </c>
      <c r="AT62" s="61">
        <v>115267</v>
      </c>
      <c r="AU62" s="61">
        <v>68765</v>
      </c>
      <c r="AV62" s="61">
        <v>319526</v>
      </c>
      <c r="AW62" s="65">
        <v>61.771000000000001</v>
      </c>
      <c r="AX62">
        <f t="shared" si="13"/>
        <v>617.71</v>
      </c>
      <c r="AY62" s="78">
        <f t="shared" si="12"/>
        <v>6.1771000000000005E-6</v>
      </c>
    </row>
    <row r="63" spans="1:55" x14ac:dyDescent="0.25">
      <c r="A63" s="57"/>
      <c r="B63" s="58" t="s">
        <v>98</v>
      </c>
      <c r="C63" s="55"/>
      <c r="D63" s="59" t="s">
        <v>110</v>
      </c>
      <c r="E63" s="59">
        <v>1000000</v>
      </c>
      <c r="F63" s="60">
        <v>1.0000000000000001E-7</v>
      </c>
      <c r="G63" s="61">
        <v>12791</v>
      </c>
      <c r="H63" s="61">
        <f t="shared" si="1"/>
        <v>1279.1000000000001</v>
      </c>
      <c r="I63" s="146">
        <f t="shared" si="2"/>
        <v>7.4420000000000001E-6</v>
      </c>
      <c r="J63" s="61">
        <f t="shared" si="3"/>
        <v>171875839.82800323</v>
      </c>
      <c r="K63" s="61">
        <f t="shared" si="4"/>
        <v>47767.600000000006</v>
      </c>
      <c r="L63" s="61">
        <f t="shared" si="5"/>
        <v>27468.600000000002</v>
      </c>
      <c r="M63" s="61">
        <f t="shared" si="6"/>
        <v>55414.3</v>
      </c>
      <c r="N63" s="82">
        <v>2.2849400000000001E-4</v>
      </c>
      <c r="O63" s="80">
        <f t="shared" si="7"/>
        <v>3.256978301399599E-2</v>
      </c>
      <c r="P63" s="61">
        <f t="shared" si="8"/>
        <v>209054067.06521836</v>
      </c>
      <c r="Q63" s="61">
        <f t="shared" si="9"/>
        <v>120215848.11855017</v>
      </c>
      <c r="R63" s="61">
        <f t="shared" si="10"/>
        <v>242519716.05381322</v>
      </c>
      <c r="S63" s="61">
        <f t="shared" si="0"/>
        <v>477676</v>
      </c>
      <c r="T63" s="61">
        <v>477676</v>
      </c>
      <c r="U63" s="61">
        <v>281897</v>
      </c>
      <c r="V63" s="61">
        <v>659</v>
      </c>
      <c r="W63" s="61">
        <v>280420</v>
      </c>
      <c r="X63" s="61"/>
      <c r="Y63" s="61"/>
      <c r="Z63" s="61"/>
      <c r="AA63" s="61"/>
      <c r="AB63" s="61"/>
      <c r="AC63" s="61"/>
      <c r="AD63" s="61">
        <v>274686</v>
      </c>
      <c r="AE63" s="61">
        <v>287477</v>
      </c>
      <c r="AF63" s="61">
        <v>211010</v>
      </c>
      <c r="AG63" s="61">
        <v>9144</v>
      </c>
      <c r="AH63" s="61">
        <v>8994</v>
      </c>
      <c r="AI63" s="61"/>
      <c r="AJ63" s="61"/>
      <c r="AK63" s="61"/>
      <c r="AL63" s="61">
        <v>150</v>
      </c>
      <c r="AM63" s="61"/>
      <c r="AN63" s="61"/>
      <c r="AO63" s="61">
        <v>0</v>
      </c>
      <c r="AP63" s="61">
        <v>12668</v>
      </c>
      <c r="AQ63" s="61">
        <v>189198</v>
      </c>
      <c r="AR63" s="61">
        <v>554143</v>
      </c>
      <c r="AS63" s="61">
        <v>209481</v>
      </c>
      <c r="AT63" s="61">
        <v>135399</v>
      </c>
      <c r="AU63" s="61">
        <v>74082</v>
      </c>
      <c r="AV63" s="61">
        <v>344662</v>
      </c>
      <c r="AW63" s="65">
        <v>74.42</v>
      </c>
      <c r="AX63">
        <f t="shared" si="13"/>
        <v>744.2</v>
      </c>
      <c r="AY63" s="78">
        <f t="shared" si="12"/>
        <v>7.4420000000000001E-6</v>
      </c>
    </row>
    <row r="64" spans="1:55" x14ac:dyDescent="0.25">
      <c r="A64" s="57"/>
      <c r="B64" s="58" t="s">
        <v>99</v>
      </c>
      <c r="C64" s="55"/>
      <c r="D64" s="59" t="s">
        <v>110</v>
      </c>
      <c r="E64" s="59">
        <v>1000000</v>
      </c>
      <c r="F64" s="60">
        <v>1.0000000000000001E-7</v>
      </c>
      <c r="G64" s="61">
        <v>24892</v>
      </c>
      <c r="H64" s="61">
        <f t="shared" si="1"/>
        <v>2489.2000000000003</v>
      </c>
      <c r="I64" s="146">
        <f t="shared" si="2"/>
        <v>9.1834000000000009E-6</v>
      </c>
      <c r="J64" s="61">
        <f t="shared" si="3"/>
        <v>271054293.61674327</v>
      </c>
      <c r="K64" s="61">
        <f t="shared" si="4"/>
        <v>53782.600000000006</v>
      </c>
      <c r="L64" s="61">
        <f t="shared" si="5"/>
        <v>31023.800000000003</v>
      </c>
      <c r="M64" s="61">
        <f t="shared" si="6"/>
        <v>64933.200000000004</v>
      </c>
      <c r="N64" s="82">
        <v>2.9143300000000001E-4</v>
      </c>
      <c r="O64" s="80">
        <f t="shared" si="7"/>
        <v>3.151118782018509E-2</v>
      </c>
      <c r="P64" s="61">
        <f t="shared" si="8"/>
        <v>184545332.88954923</v>
      </c>
      <c r="Q64" s="61">
        <f t="shared" si="9"/>
        <v>106452598.02424571</v>
      </c>
      <c r="R64" s="61">
        <f t="shared" si="10"/>
        <v>222806614.21321538</v>
      </c>
      <c r="S64" s="61">
        <f t="shared" si="0"/>
        <v>537826</v>
      </c>
      <c r="T64" s="61">
        <v>537826</v>
      </c>
      <c r="U64" s="61">
        <v>296914</v>
      </c>
      <c r="V64" s="61">
        <v>15114</v>
      </c>
      <c r="W64" s="61">
        <v>280413</v>
      </c>
      <c r="X64" s="61"/>
      <c r="Y64" s="61"/>
      <c r="Z64" s="61"/>
      <c r="AA64" s="61"/>
      <c r="AB64" s="61"/>
      <c r="AC64" s="61"/>
      <c r="AD64" s="61">
        <v>310238</v>
      </c>
      <c r="AE64" s="61">
        <v>335130</v>
      </c>
      <c r="AF64" s="61">
        <v>223624</v>
      </c>
      <c r="AG64" s="61">
        <v>3910</v>
      </c>
      <c r="AH64" s="61">
        <v>3668</v>
      </c>
      <c r="AI64" s="61"/>
      <c r="AJ64" s="61"/>
      <c r="AK64" s="61"/>
      <c r="AL64" s="61">
        <v>242</v>
      </c>
      <c r="AM64" s="61"/>
      <c r="AN64" s="61"/>
      <c r="AO64" s="61">
        <v>0</v>
      </c>
      <c r="AP64" s="61">
        <v>14766</v>
      </c>
      <c r="AQ64" s="61">
        <v>204948</v>
      </c>
      <c r="AR64" s="61">
        <v>649332</v>
      </c>
      <c r="AS64" s="61">
        <v>241331</v>
      </c>
      <c r="AT64" s="61">
        <v>146206</v>
      </c>
      <c r="AU64" s="61">
        <v>95125</v>
      </c>
      <c r="AV64" s="61">
        <v>408001</v>
      </c>
      <c r="AW64" s="65">
        <v>91.834000000000003</v>
      </c>
      <c r="AX64">
        <f t="shared" si="13"/>
        <v>918.34</v>
      </c>
      <c r="AY64" s="78">
        <f t="shared" si="12"/>
        <v>9.1834000000000009E-6</v>
      </c>
    </row>
    <row r="65" spans="1:55" x14ac:dyDescent="0.25">
      <c r="A65" s="57"/>
      <c r="B65" s="58" t="s">
        <v>100</v>
      </c>
      <c r="C65" s="55"/>
      <c r="D65" s="59" t="s">
        <v>110</v>
      </c>
      <c r="E65" s="59">
        <v>1000000</v>
      </c>
      <c r="F65" s="60">
        <v>1.0000000000000001E-7</v>
      </c>
      <c r="G65" s="61">
        <v>57992</v>
      </c>
      <c r="H65" s="61">
        <f t="shared" si="1"/>
        <v>5799.2000000000007</v>
      </c>
      <c r="I65" s="146">
        <f t="shared" si="2"/>
        <v>1.20124E-5</v>
      </c>
      <c r="J65" s="61">
        <f t="shared" si="3"/>
        <v>482767806.5998469</v>
      </c>
      <c r="K65" s="61">
        <f t="shared" si="4"/>
        <v>60275.8</v>
      </c>
      <c r="L65" s="61">
        <f t="shared" si="5"/>
        <v>71177.5</v>
      </c>
      <c r="M65" s="61">
        <f t="shared" si="6"/>
        <v>76686.8</v>
      </c>
      <c r="N65" s="82">
        <v>3.47752E-4</v>
      </c>
      <c r="O65" s="80">
        <f t="shared" si="7"/>
        <v>3.4543007660631717E-2</v>
      </c>
      <c r="P65" s="61">
        <f t="shared" si="8"/>
        <v>173329844.2568267</v>
      </c>
      <c r="Q65" s="61">
        <f t="shared" si="9"/>
        <v>204678909.10763994</v>
      </c>
      <c r="R65" s="61">
        <f t="shared" si="10"/>
        <v>220521521.0839909</v>
      </c>
      <c r="S65" s="61">
        <f t="shared" si="0"/>
        <v>602758</v>
      </c>
      <c r="T65" s="61">
        <v>602758</v>
      </c>
      <c r="U65" s="61">
        <v>316014</v>
      </c>
      <c r="V65" s="61">
        <v>3407</v>
      </c>
      <c r="W65" s="61">
        <v>310406</v>
      </c>
      <c r="X65" s="61"/>
      <c r="Y65" s="61"/>
      <c r="Z65" s="61"/>
      <c r="AA65" s="61"/>
      <c r="AB65" s="61"/>
      <c r="AC65" s="61"/>
      <c r="AD65" s="61">
        <v>711775</v>
      </c>
      <c r="AE65" s="61">
        <v>769767</v>
      </c>
      <c r="AF65" s="61">
        <v>605657</v>
      </c>
      <c r="AG65" s="61">
        <v>2513</v>
      </c>
      <c r="AH65" s="61">
        <v>1796</v>
      </c>
      <c r="AI65" s="61"/>
      <c r="AJ65" s="61"/>
      <c r="AK65" s="61"/>
      <c r="AL65" s="61">
        <v>717</v>
      </c>
      <c r="AM65" s="61"/>
      <c r="AN65" s="61"/>
      <c r="AO65" s="61">
        <v>0</v>
      </c>
      <c r="AP65" s="61">
        <v>256135</v>
      </c>
      <c r="AQ65" s="61">
        <v>347009</v>
      </c>
      <c r="AR65" s="61">
        <v>766868</v>
      </c>
      <c r="AS65" s="61">
        <v>246376</v>
      </c>
      <c r="AT65" s="61">
        <v>162544</v>
      </c>
      <c r="AU65" s="61">
        <v>83832</v>
      </c>
      <c r="AV65" s="61">
        <v>520492</v>
      </c>
      <c r="AW65" s="65">
        <v>120.124</v>
      </c>
      <c r="AX65">
        <f t="shared" si="13"/>
        <v>1201.24</v>
      </c>
      <c r="AY65" s="78">
        <f t="shared" si="12"/>
        <v>1.20124E-5</v>
      </c>
    </row>
    <row r="66" spans="1:55" x14ac:dyDescent="0.25">
      <c r="A66" s="57"/>
      <c r="B66" s="58" t="s">
        <v>101</v>
      </c>
      <c r="C66" s="55"/>
      <c r="D66" s="59" t="s">
        <v>110</v>
      </c>
      <c r="E66" s="59">
        <v>1000000</v>
      </c>
      <c r="F66" s="60">
        <v>1.0000000000000001E-7</v>
      </c>
      <c r="G66" s="61">
        <v>30780</v>
      </c>
      <c r="H66" s="61">
        <f t="shared" si="1"/>
        <v>3078.0000000000005</v>
      </c>
      <c r="I66" s="146">
        <f t="shared" si="2"/>
        <v>1.4872000000000001E-5</v>
      </c>
      <c r="J66" s="61">
        <f t="shared" si="3"/>
        <v>206966110.81226468</v>
      </c>
      <c r="K66" s="61">
        <f t="shared" si="4"/>
        <v>71287.5</v>
      </c>
      <c r="L66" s="61">
        <f t="shared" si="5"/>
        <v>74787.400000000009</v>
      </c>
      <c r="M66" s="61">
        <f t="shared" si="6"/>
        <v>84207.6</v>
      </c>
      <c r="N66" s="82">
        <v>3.9982599999999999E-4</v>
      </c>
      <c r="O66" s="80">
        <f t="shared" si="7"/>
        <v>3.7196180338447231E-2</v>
      </c>
      <c r="P66" s="61">
        <f t="shared" si="8"/>
        <v>178296308.89436907</v>
      </c>
      <c r="Q66" s="61">
        <f t="shared" si="9"/>
        <v>187049866.69201106</v>
      </c>
      <c r="R66" s="61">
        <f t="shared" si="10"/>
        <v>210610615.61779377</v>
      </c>
      <c r="S66" s="61">
        <f t="shared" si="0"/>
        <v>712875</v>
      </c>
      <c r="T66" s="61">
        <v>712875</v>
      </c>
      <c r="U66" s="61">
        <v>374431</v>
      </c>
      <c r="V66" s="61">
        <v>1056</v>
      </c>
      <c r="W66" s="61">
        <v>370054</v>
      </c>
      <c r="X66" s="61"/>
      <c r="Y66" s="61"/>
      <c r="Z66" s="61"/>
      <c r="AA66" s="61"/>
      <c r="AB66" s="61"/>
      <c r="AC66" s="61"/>
      <c r="AD66" s="61">
        <v>747874</v>
      </c>
      <c r="AE66" s="61">
        <v>778654</v>
      </c>
      <c r="AF66" s="61">
        <v>649453</v>
      </c>
      <c r="AG66" s="61">
        <v>13748</v>
      </c>
      <c r="AH66" s="61">
        <v>13063</v>
      </c>
      <c r="AI66" s="61"/>
      <c r="AJ66" s="61"/>
      <c r="AK66" s="61"/>
      <c r="AL66" s="61">
        <v>685</v>
      </c>
      <c r="AM66" s="61"/>
      <c r="AN66" s="61"/>
      <c r="AO66" s="61">
        <v>0</v>
      </c>
      <c r="AP66" s="61">
        <v>343750</v>
      </c>
      <c r="AQ66" s="61">
        <v>291955</v>
      </c>
      <c r="AR66" s="61">
        <v>842076</v>
      </c>
      <c r="AS66" s="61">
        <v>315988</v>
      </c>
      <c r="AT66" s="61">
        <v>209069</v>
      </c>
      <c r="AU66" s="61">
        <v>106919</v>
      </c>
      <c r="AV66" s="61">
        <v>526088</v>
      </c>
      <c r="AW66" s="65">
        <v>148.72</v>
      </c>
      <c r="AX66">
        <f t="shared" si="13"/>
        <v>1487.2</v>
      </c>
      <c r="AY66" s="78">
        <f t="shared" si="12"/>
        <v>1.4872000000000001E-5</v>
      </c>
    </row>
    <row r="67" spans="1:55" x14ac:dyDescent="0.25">
      <c r="A67" s="57"/>
      <c r="B67" s="58" t="s">
        <v>102</v>
      </c>
      <c r="C67" s="55"/>
      <c r="D67" s="59" t="s">
        <v>110</v>
      </c>
      <c r="E67" s="59">
        <v>1000000</v>
      </c>
      <c r="F67" s="60">
        <v>1.0000000000000001E-7</v>
      </c>
      <c r="G67" s="61">
        <v>-83241</v>
      </c>
      <c r="H67" s="61">
        <f t="shared" si="1"/>
        <v>-8324.1</v>
      </c>
      <c r="I67" s="146">
        <f t="shared" si="2"/>
        <v>1.7881E-5</v>
      </c>
      <c r="J67" s="61">
        <f t="shared" si="3"/>
        <v>-465527655.05284941</v>
      </c>
      <c r="K67" s="61">
        <f t="shared" si="4"/>
        <v>84199.3</v>
      </c>
      <c r="L67" s="61">
        <f t="shared" si="5"/>
        <v>95030.000000000015</v>
      </c>
      <c r="M67" s="61">
        <f t="shared" si="6"/>
        <v>105848.00000000001</v>
      </c>
      <c r="N67" s="82">
        <v>4.7849900000000001E-4</v>
      </c>
      <c r="O67" s="80">
        <f t="shared" si="7"/>
        <v>3.7368939120039961E-2</v>
      </c>
      <c r="P67" s="61">
        <f t="shared" si="8"/>
        <v>175965467.01247025</v>
      </c>
      <c r="Q67" s="61">
        <f t="shared" si="9"/>
        <v>198600206.06103674</v>
      </c>
      <c r="R67" s="61">
        <f t="shared" si="10"/>
        <v>221208403.77931827</v>
      </c>
      <c r="S67" s="61">
        <f t="shared" si="0"/>
        <v>841993</v>
      </c>
      <c r="T67" s="61">
        <v>841993</v>
      </c>
      <c r="U67" s="61">
        <v>418181</v>
      </c>
      <c r="V67" s="61">
        <v>24053</v>
      </c>
      <c r="W67" s="61">
        <v>389580</v>
      </c>
      <c r="X67" s="61"/>
      <c r="Y67" s="61"/>
      <c r="Z67" s="61"/>
      <c r="AA67" s="61"/>
      <c r="AB67" s="61"/>
      <c r="AC67" s="61"/>
      <c r="AD67" s="61">
        <v>950300</v>
      </c>
      <c r="AE67" s="61">
        <v>867059</v>
      </c>
      <c r="AF67" s="61">
        <v>650572</v>
      </c>
      <c r="AG67" s="61">
        <v>5801</v>
      </c>
      <c r="AH67" s="61">
        <v>4470</v>
      </c>
      <c r="AI67" s="61"/>
      <c r="AJ67" s="61"/>
      <c r="AK67" s="61"/>
      <c r="AL67" s="61">
        <v>1331</v>
      </c>
      <c r="AM67" s="61"/>
      <c r="AN67" s="61"/>
      <c r="AO67" s="61">
        <v>0</v>
      </c>
      <c r="AP67" s="61">
        <v>407202</v>
      </c>
      <c r="AQ67" s="61">
        <v>237569</v>
      </c>
      <c r="AR67" s="61">
        <v>1058480</v>
      </c>
      <c r="AS67" s="61">
        <v>470758</v>
      </c>
      <c r="AT67" s="61">
        <v>310453</v>
      </c>
      <c r="AU67" s="61">
        <v>160305</v>
      </c>
      <c r="AV67" s="61">
        <v>587722</v>
      </c>
      <c r="AW67" s="65">
        <v>178.81</v>
      </c>
      <c r="AX67">
        <f t="shared" si="13"/>
        <v>1788.1</v>
      </c>
      <c r="AY67" s="78">
        <f t="shared" si="12"/>
        <v>1.7881E-5</v>
      </c>
      <c r="BA67" s="68">
        <v>1984</v>
      </c>
      <c r="BB67" s="70">
        <v>9.7329999999999998E-6</v>
      </c>
      <c r="BC67">
        <f>+BB67*100000000</f>
        <v>973.3</v>
      </c>
    </row>
    <row r="68" spans="1:55" x14ac:dyDescent="0.25">
      <c r="A68" s="62">
        <v>1985.01</v>
      </c>
      <c r="B68" s="58" t="s">
        <v>108</v>
      </c>
      <c r="C68" s="55"/>
      <c r="D68" s="59" t="s">
        <v>111</v>
      </c>
      <c r="E68" s="59">
        <v>1000</v>
      </c>
      <c r="F68" s="60">
        <v>1E-4</v>
      </c>
      <c r="G68" s="61">
        <v>-38462</v>
      </c>
      <c r="H68" s="61">
        <f t="shared" si="1"/>
        <v>-3846.2000000000003</v>
      </c>
      <c r="I68" s="146">
        <f t="shared" si="2"/>
        <v>2.2347999999999997E-5</v>
      </c>
      <c r="J68" s="61">
        <f t="shared" si="3"/>
        <v>-172104886.34329697</v>
      </c>
      <c r="K68" s="61">
        <f t="shared" si="4"/>
        <v>100972.20000000001</v>
      </c>
      <c r="L68" s="61">
        <f t="shared" si="5"/>
        <v>106099.6</v>
      </c>
      <c r="M68" s="61">
        <f t="shared" si="6"/>
        <v>119572.3</v>
      </c>
      <c r="N68" s="83">
        <v>5.9878999999999998E-4</v>
      </c>
      <c r="O68" s="80">
        <f t="shared" si="7"/>
        <v>3.7321932564004068E-2</v>
      </c>
      <c r="P68" s="61">
        <f t="shared" si="8"/>
        <v>168627064.58023682</v>
      </c>
      <c r="Q68" s="61">
        <f t="shared" si="9"/>
        <v>177189999.83299655</v>
      </c>
      <c r="R68" s="61">
        <f t="shared" si="10"/>
        <v>199689874.58040383</v>
      </c>
      <c r="S68" s="61">
        <f t="shared" si="0"/>
        <v>1009722</v>
      </c>
      <c r="T68" s="61">
        <v>1009722</v>
      </c>
      <c r="U68" s="61">
        <v>475809</v>
      </c>
      <c r="V68" s="61">
        <v>0</v>
      </c>
      <c r="W68" s="61">
        <v>469408</v>
      </c>
      <c r="X68" s="61"/>
      <c r="Y68" s="61"/>
      <c r="Z68" s="61"/>
      <c r="AA68" s="61"/>
      <c r="AB68" s="61"/>
      <c r="AC68" s="61"/>
      <c r="AD68" s="61">
        <v>1060996</v>
      </c>
      <c r="AE68" s="61">
        <v>1022534</v>
      </c>
      <c r="AF68" s="61">
        <v>836533</v>
      </c>
      <c r="AG68" s="61">
        <v>18515</v>
      </c>
      <c r="AH68" s="61">
        <v>17377</v>
      </c>
      <c r="AI68" s="61"/>
      <c r="AJ68" s="61"/>
      <c r="AK68" s="61"/>
      <c r="AL68" s="61">
        <v>1138</v>
      </c>
      <c r="AM68" s="61"/>
      <c r="AN68" s="61"/>
      <c r="AO68" s="61">
        <v>0</v>
      </c>
      <c r="AP68" s="61">
        <v>451332</v>
      </c>
      <c r="AQ68" s="61">
        <v>366686</v>
      </c>
      <c r="AR68" s="61">
        <v>1195723</v>
      </c>
      <c r="AS68" s="61">
        <v>477190</v>
      </c>
      <c r="AT68" s="61">
        <v>305844</v>
      </c>
      <c r="AU68" s="61">
        <v>171346</v>
      </c>
      <c r="AV68" s="61">
        <v>718533</v>
      </c>
      <c r="AW68" s="65">
        <v>0.22347999999999998</v>
      </c>
      <c r="AX68">
        <f>+AW68*10000</f>
        <v>2234.7999999999997</v>
      </c>
      <c r="AY68" s="78">
        <f t="shared" si="12"/>
        <v>2.2347999999999997E-5</v>
      </c>
    </row>
    <row r="69" spans="1:55" x14ac:dyDescent="0.25">
      <c r="A69" s="57"/>
      <c r="B69" s="58" t="s">
        <v>104</v>
      </c>
      <c r="C69" s="55"/>
      <c r="D69" s="59" t="s">
        <v>111</v>
      </c>
      <c r="E69" s="59">
        <v>1000</v>
      </c>
      <c r="F69" s="60">
        <v>1E-4</v>
      </c>
      <c r="G69" s="61">
        <v>-95259</v>
      </c>
      <c r="H69" s="61">
        <f t="shared" si="1"/>
        <v>-9525.9</v>
      </c>
      <c r="I69" s="146">
        <f t="shared" si="2"/>
        <v>2.6815E-5</v>
      </c>
      <c r="J69" s="61">
        <f t="shared" si="3"/>
        <v>-355245198.5828827</v>
      </c>
      <c r="K69" s="61">
        <f t="shared" si="4"/>
        <v>128770.70000000001</v>
      </c>
      <c r="L69" s="61">
        <f t="shared" si="5"/>
        <v>119228.8</v>
      </c>
      <c r="M69" s="61">
        <f t="shared" si="6"/>
        <v>130512.8</v>
      </c>
      <c r="N69" s="83">
        <v>7.2272999999999999E-4</v>
      </c>
      <c r="O69" s="80">
        <f t="shared" si="7"/>
        <v>3.7102375714305483E-2</v>
      </c>
      <c r="P69" s="61">
        <f t="shared" si="8"/>
        <v>178172623.24796259</v>
      </c>
      <c r="Q69" s="61">
        <f t="shared" si="9"/>
        <v>164970044.13819823</v>
      </c>
      <c r="R69" s="61">
        <f t="shared" si="10"/>
        <v>180583066.98213717</v>
      </c>
      <c r="S69" s="61">
        <f t="shared" si="0"/>
        <v>1287707</v>
      </c>
      <c r="T69" s="61">
        <v>1287707</v>
      </c>
      <c r="U69" s="61">
        <v>607221</v>
      </c>
      <c r="V69" s="61">
        <v>48223</v>
      </c>
      <c r="W69" s="61">
        <v>549401</v>
      </c>
      <c r="X69" s="61"/>
      <c r="Y69" s="61"/>
      <c r="Z69" s="61"/>
      <c r="AA69" s="61"/>
      <c r="AB69" s="61"/>
      <c r="AC69" s="61"/>
      <c r="AD69" s="61">
        <v>1192288</v>
      </c>
      <c r="AE69" s="61">
        <v>1097029</v>
      </c>
      <c r="AF69" s="61">
        <v>1079608</v>
      </c>
      <c r="AG69" s="61">
        <v>17141</v>
      </c>
      <c r="AH69" s="61">
        <v>16028</v>
      </c>
      <c r="AI69" s="61"/>
      <c r="AJ69" s="61"/>
      <c r="AK69" s="61"/>
      <c r="AL69" s="61">
        <v>1113</v>
      </c>
      <c r="AM69" s="61"/>
      <c r="AN69" s="61"/>
      <c r="AO69" s="61">
        <v>0</v>
      </c>
      <c r="AP69" s="61">
        <v>556923</v>
      </c>
      <c r="AQ69" s="61">
        <v>505544</v>
      </c>
      <c r="AR69" s="61">
        <v>1305128</v>
      </c>
      <c r="AS69" s="61">
        <v>551762</v>
      </c>
      <c r="AT69" s="61">
        <v>347979</v>
      </c>
      <c r="AU69" s="61">
        <v>203783</v>
      </c>
      <c r="AV69" s="61">
        <v>753366</v>
      </c>
      <c r="AW69" s="65">
        <v>0.26815</v>
      </c>
      <c r="AX69">
        <f t="shared" ref="AX69:AX127" si="14">+AW69*10000</f>
        <v>2681.5</v>
      </c>
      <c r="AY69" s="78">
        <f t="shared" si="12"/>
        <v>2.6815E-5</v>
      </c>
    </row>
    <row r="70" spans="1:55" x14ac:dyDescent="0.25">
      <c r="A70" s="57"/>
      <c r="B70" s="58" t="s">
        <v>105</v>
      </c>
      <c r="C70" s="55"/>
      <c r="D70" s="59" t="s">
        <v>111</v>
      </c>
      <c r="E70" s="59">
        <v>1000</v>
      </c>
      <c r="F70" s="60">
        <v>1E-4</v>
      </c>
      <c r="G70" s="61">
        <v>-121729</v>
      </c>
      <c r="H70" s="61">
        <f t="shared" si="1"/>
        <v>-12172.900000000001</v>
      </c>
      <c r="I70" s="146">
        <f t="shared" si="2"/>
        <v>3.4288999999999996E-5</v>
      </c>
      <c r="J70" s="61">
        <f t="shared" si="3"/>
        <v>-355008894.98089772</v>
      </c>
      <c r="K70" s="61">
        <f t="shared" si="4"/>
        <v>158954.1</v>
      </c>
      <c r="L70" s="61">
        <f t="shared" si="5"/>
        <v>119231.90000000001</v>
      </c>
      <c r="M70" s="61">
        <f t="shared" si="6"/>
        <v>146750.70000000001</v>
      </c>
      <c r="N70" s="83">
        <v>9.1410000000000005E-4</v>
      </c>
      <c r="O70" s="80">
        <f t="shared" si="7"/>
        <v>3.751121321518433E-2</v>
      </c>
      <c r="P70" s="61">
        <f t="shared" si="8"/>
        <v>173891368.55923858</v>
      </c>
      <c r="Q70" s="61">
        <f t="shared" si="9"/>
        <v>130436385.5158079</v>
      </c>
      <c r="R70" s="61">
        <f t="shared" si="10"/>
        <v>160541188.05382344</v>
      </c>
      <c r="S70" s="61">
        <f t="shared" si="0"/>
        <v>1589541</v>
      </c>
      <c r="T70" s="61">
        <v>1589541</v>
      </c>
      <c r="U70" s="61">
        <v>708650</v>
      </c>
      <c r="V70" s="61">
        <v>0</v>
      </c>
      <c r="W70" s="61">
        <v>706755</v>
      </c>
      <c r="X70" s="61"/>
      <c r="Y70" s="61"/>
      <c r="Z70" s="61"/>
      <c r="AA70" s="61"/>
      <c r="AB70" s="61"/>
      <c r="AC70" s="61"/>
      <c r="AD70" s="61">
        <v>1192319</v>
      </c>
      <c r="AE70" s="61">
        <v>1070590</v>
      </c>
      <c r="AF70" s="61">
        <v>1192624</v>
      </c>
      <c r="AG70" s="61">
        <v>41394</v>
      </c>
      <c r="AH70" s="61">
        <v>40114</v>
      </c>
      <c r="AI70" s="61"/>
      <c r="AJ70" s="61"/>
      <c r="AK70" s="61"/>
      <c r="AL70" s="61">
        <v>1280</v>
      </c>
      <c r="AM70" s="61"/>
      <c r="AN70" s="61"/>
      <c r="AO70" s="61">
        <v>0</v>
      </c>
      <c r="AP70" s="61">
        <v>582479</v>
      </c>
      <c r="AQ70" s="61">
        <v>568751</v>
      </c>
      <c r="AR70" s="61">
        <v>1467507</v>
      </c>
      <c r="AS70" s="61">
        <v>659857</v>
      </c>
      <c r="AT70" s="61">
        <v>430334</v>
      </c>
      <c r="AU70" s="61">
        <v>229523</v>
      </c>
      <c r="AV70" s="61">
        <v>807650</v>
      </c>
      <c r="AW70" s="65">
        <v>0.34288999999999997</v>
      </c>
      <c r="AX70">
        <f t="shared" si="14"/>
        <v>3428.8999999999996</v>
      </c>
      <c r="AY70" s="78">
        <f t="shared" si="12"/>
        <v>3.4288999999999996E-5</v>
      </c>
    </row>
    <row r="71" spans="1:55" x14ac:dyDescent="0.25">
      <c r="A71" s="57"/>
      <c r="B71" s="58" t="s">
        <v>106</v>
      </c>
      <c r="C71" s="55"/>
      <c r="D71" s="59" t="s">
        <v>111</v>
      </c>
      <c r="E71" s="59">
        <v>1000</v>
      </c>
      <c r="F71" s="60">
        <v>1E-4</v>
      </c>
      <c r="G71" s="61">
        <v>-20547</v>
      </c>
      <c r="H71" s="61">
        <f t="shared" si="1"/>
        <v>-2054.7000000000003</v>
      </c>
      <c r="I71" s="146">
        <f t="shared" si="2"/>
        <v>4.4864999999999998E-5</v>
      </c>
      <c r="J71" s="61">
        <f t="shared" si="3"/>
        <v>-45797392.176529594</v>
      </c>
      <c r="K71" s="61">
        <f t="shared" si="4"/>
        <v>199053.40000000002</v>
      </c>
      <c r="L71" s="61">
        <f t="shared" si="5"/>
        <v>172213.7</v>
      </c>
      <c r="M71" s="61">
        <f t="shared" si="6"/>
        <v>132318.20000000001</v>
      </c>
      <c r="N71" s="83">
        <v>1.1835299999999999E-3</v>
      </c>
      <c r="O71" s="80">
        <f t="shared" si="7"/>
        <v>3.7907784340067426E-2</v>
      </c>
      <c r="P71" s="61">
        <f t="shared" si="8"/>
        <v>168186188.77426007</v>
      </c>
      <c r="Q71" s="61">
        <f t="shared" si="9"/>
        <v>145508521.11902532</v>
      </c>
      <c r="R71" s="61">
        <f t="shared" si="10"/>
        <v>111799616.40178113</v>
      </c>
      <c r="S71" s="61">
        <f t="shared" si="0"/>
        <v>1990534</v>
      </c>
      <c r="T71" s="61">
        <v>1990534</v>
      </c>
      <c r="U71" s="61">
        <v>905098</v>
      </c>
      <c r="V71" s="61">
        <v>44404</v>
      </c>
      <c r="W71" s="61">
        <v>856747</v>
      </c>
      <c r="X71" s="61"/>
      <c r="Y71" s="61"/>
      <c r="Z71" s="61"/>
      <c r="AA71" s="61"/>
      <c r="AB71" s="61"/>
      <c r="AC71" s="61"/>
      <c r="AD71" s="61">
        <v>1722137</v>
      </c>
      <c r="AE71" s="61">
        <v>1701590</v>
      </c>
      <c r="AF71" s="61">
        <v>2368942</v>
      </c>
      <c r="AG71" s="61">
        <v>59030</v>
      </c>
      <c r="AH71" s="61">
        <v>56365</v>
      </c>
      <c r="AI71" s="61"/>
      <c r="AJ71" s="61"/>
      <c r="AK71" s="61"/>
      <c r="AL71" s="61">
        <v>2665</v>
      </c>
      <c r="AM71" s="61"/>
      <c r="AN71" s="61"/>
      <c r="AO71" s="61">
        <v>0</v>
      </c>
      <c r="AP71" s="61">
        <v>1066334</v>
      </c>
      <c r="AQ71" s="61">
        <v>1243578</v>
      </c>
      <c r="AR71" s="61">
        <v>1323182</v>
      </c>
      <c r="AS71" s="61">
        <v>753564</v>
      </c>
      <c r="AT71" s="61">
        <v>486701</v>
      </c>
      <c r="AU71" s="61">
        <v>266863</v>
      </c>
      <c r="AV71" s="61">
        <v>569618</v>
      </c>
      <c r="AW71" s="65">
        <v>0.44864999999999999</v>
      </c>
      <c r="AX71">
        <f t="shared" si="14"/>
        <v>4486.5</v>
      </c>
      <c r="AY71" s="78">
        <f t="shared" si="12"/>
        <v>4.4864999999999998E-5</v>
      </c>
    </row>
    <row r="72" spans="1:55" x14ac:dyDescent="0.25">
      <c r="A72" s="57"/>
      <c r="B72" s="58" t="s">
        <v>107</v>
      </c>
      <c r="C72" s="55"/>
      <c r="D72" s="59" t="s">
        <v>111</v>
      </c>
      <c r="E72" s="59">
        <v>1000</v>
      </c>
      <c r="F72" s="60">
        <v>1E-4</v>
      </c>
      <c r="G72" s="61">
        <v>222845</v>
      </c>
      <c r="H72" s="61">
        <f t="shared" si="1"/>
        <v>22284.5</v>
      </c>
      <c r="I72" s="146">
        <f t="shared" si="2"/>
        <v>6.0198000000000009E-5</v>
      </c>
      <c r="J72" s="61">
        <f t="shared" si="3"/>
        <v>370186717.1666832</v>
      </c>
      <c r="K72" s="61">
        <f t="shared" si="4"/>
        <v>254544.2</v>
      </c>
      <c r="L72" s="61">
        <f t="shared" si="5"/>
        <v>208212.2</v>
      </c>
      <c r="M72" s="61">
        <f t="shared" si="6"/>
        <v>130701.40000000001</v>
      </c>
      <c r="N72" s="83">
        <v>1.4804200000000001E-3</v>
      </c>
      <c r="O72" s="80">
        <f t="shared" si="7"/>
        <v>4.0662784885370375E-2</v>
      </c>
      <c r="P72" s="61">
        <f t="shared" si="8"/>
        <v>171940530.39002445</v>
      </c>
      <c r="Q72" s="61">
        <f t="shared" si="9"/>
        <v>140644006.43060753</v>
      </c>
      <c r="R72" s="61">
        <f t="shared" si="10"/>
        <v>88286702.422285572</v>
      </c>
      <c r="S72" s="61">
        <f>+T72</f>
        <v>2545442</v>
      </c>
      <c r="T72" s="61">
        <v>2545442</v>
      </c>
      <c r="U72" s="61">
        <v>1077137</v>
      </c>
      <c r="V72" s="61">
        <v>73244</v>
      </c>
      <c r="W72" s="61">
        <v>996740</v>
      </c>
      <c r="X72" s="61"/>
      <c r="Y72" s="61"/>
      <c r="Z72" s="61"/>
      <c r="AA72" s="61"/>
      <c r="AB72" s="61"/>
      <c r="AC72" s="61"/>
      <c r="AD72" s="61">
        <v>2082122</v>
      </c>
      <c r="AE72" s="61">
        <v>2304967</v>
      </c>
      <c r="AF72" s="61">
        <v>3543395</v>
      </c>
      <c r="AG72" s="61">
        <v>65168</v>
      </c>
      <c r="AH72" s="61">
        <v>59621</v>
      </c>
      <c r="AI72" s="61"/>
      <c r="AJ72" s="61"/>
      <c r="AK72" s="61"/>
      <c r="AL72" s="61">
        <v>5547</v>
      </c>
      <c r="AM72" s="61"/>
      <c r="AN72" s="61"/>
      <c r="AO72" s="61">
        <v>0</v>
      </c>
      <c r="AP72" s="61">
        <v>2098147</v>
      </c>
      <c r="AQ72" s="61">
        <v>1380080</v>
      </c>
      <c r="AR72" s="61">
        <v>1307014</v>
      </c>
      <c r="AS72" s="61">
        <v>880118</v>
      </c>
      <c r="AT72" s="61">
        <v>606663</v>
      </c>
      <c r="AU72" s="61">
        <v>273455</v>
      </c>
      <c r="AV72" s="61">
        <v>426896</v>
      </c>
      <c r="AW72" s="65">
        <v>0.60198000000000007</v>
      </c>
      <c r="AX72">
        <f t="shared" si="14"/>
        <v>6019.8000000000011</v>
      </c>
      <c r="AY72" s="78">
        <f t="shared" si="12"/>
        <v>6.0198000000000009E-5</v>
      </c>
    </row>
    <row r="73" spans="1:55" x14ac:dyDescent="0.25">
      <c r="A73" s="57"/>
      <c r="B73" s="58" t="s">
        <v>96</v>
      </c>
      <c r="C73" s="55"/>
      <c r="D73" s="59" t="s">
        <v>111</v>
      </c>
      <c r="E73" s="59">
        <v>1000</v>
      </c>
      <c r="F73" s="60">
        <v>1E-4</v>
      </c>
      <c r="G73" s="61">
        <v>170460</v>
      </c>
      <c r="H73" s="61">
        <f t="shared" ref="H73:H136" si="15">+G73*E73*F73</f>
        <v>17046</v>
      </c>
      <c r="I73" s="146">
        <f t="shared" ref="I73:I136" si="16">+AY73</f>
        <v>8.0099999999999995E-5</v>
      </c>
      <c r="J73" s="61">
        <f t="shared" ref="J73:J136" si="17">+H73/I73</f>
        <v>212808988.76404497</v>
      </c>
      <c r="K73" s="61">
        <f t="shared" ref="K73:K136" si="18">+S73*E73*F73</f>
        <v>347942</v>
      </c>
      <c r="L73" s="61">
        <f t="shared" ref="L73:L136" si="19">+AD73*E73*F73</f>
        <v>262057.5</v>
      </c>
      <c r="M73" s="61">
        <f t="shared" ref="M73:M136" si="20">+AR73*E73*F73</f>
        <v>247905.7</v>
      </c>
      <c r="N73" s="83">
        <v>1.9324800000000001E-3</v>
      </c>
      <c r="O73" s="80">
        <f t="shared" ref="O73:O136" si="21">+I73/N73</f>
        <v>4.144932935916542E-2</v>
      </c>
      <c r="P73" s="61">
        <f t="shared" ref="P73:P136" si="22">+K73/$N73</f>
        <v>180049470.11094552</v>
      </c>
      <c r="Q73" s="61">
        <f t="shared" ref="Q73:Q136" si="23">+L73/$N73</f>
        <v>135606836.81073025</v>
      </c>
      <c r="R73" s="61">
        <f t="shared" ref="R73:R136" si="24">+M73/$N73</f>
        <v>128283707.98145388</v>
      </c>
      <c r="S73" s="61">
        <v>3479420</v>
      </c>
      <c r="T73" s="61">
        <v>3110961</v>
      </c>
      <c r="U73" s="61">
        <v>1382359</v>
      </c>
      <c r="V73" s="61">
        <v>0</v>
      </c>
      <c r="W73" s="61">
        <v>1370068</v>
      </c>
      <c r="X73" s="61"/>
      <c r="Y73" s="61"/>
      <c r="Z73" s="61"/>
      <c r="AA73" s="61">
        <v>368459</v>
      </c>
      <c r="AB73" s="61"/>
      <c r="AC73" s="61"/>
      <c r="AD73" s="61">
        <v>2620575</v>
      </c>
      <c r="AE73" s="61">
        <v>6270455</v>
      </c>
      <c r="AF73" s="61">
        <v>3791398</v>
      </c>
      <c r="AG73" s="61">
        <v>158767</v>
      </c>
      <c r="AH73" s="61">
        <v>152651</v>
      </c>
      <c r="AI73" s="61"/>
      <c r="AJ73" s="61"/>
      <c r="AK73" s="61"/>
      <c r="AL73" s="61">
        <v>6116</v>
      </c>
      <c r="AM73" s="61"/>
      <c r="AN73" s="61"/>
      <c r="AO73" s="61">
        <v>0</v>
      </c>
      <c r="AP73" s="61">
        <v>2486973</v>
      </c>
      <c r="AQ73" s="61">
        <v>1145658</v>
      </c>
      <c r="AR73" s="61">
        <v>2479057</v>
      </c>
      <c r="AS73" s="61">
        <v>1370779</v>
      </c>
      <c r="AT73" s="61">
        <v>974739</v>
      </c>
      <c r="AU73" s="61">
        <v>396040</v>
      </c>
      <c r="AV73" s="61">
        <v>1108278</v>
      </c>
      <c r="AW73" s="65">
        <v>0.80100000000000005</v>
      </c>
      <c r="AX73">
        <f t="shared" si="14"/>
        <v>8010</v>
      </c>
      <c r="AY73" s="78">
        <f t="shared" ref="AY73:AY136" si="25">+AX73/100000000</f>
        <v>8.0099999999999995E-5</v>
      </c>
    </row>
    <row r="74" spans="1:55" x14ac:dyDescent="0.25">
      <c r="A74" s="57"/>
      <c r="B74" s="58" t="s">
        <v>97</v>
      </c>
      <c r="C74" s="55"/>
      <c r="D74" s="59" t="s">
        <v>111</v>
      </c>
      <c r="E74" s="59">
        <v>1000</v>
      </c>
      <c r="F74" s="60">
        <v>1E-4</v>
      </c>
      <c r="G74" s="61">
        <v>597130</v>
      </c>
      <c r="H74" s="61">
        <f t="shared" si="15"/>
        <v>59713</v>
      </c>
      <c r="I74" s="146">
        <f t="shared" si="16"/>
        <v>8.0099999999999995E-5</v>
      </c>
      <c r="J74" s="61">
        <f t="shared" si="17"/>
        <v>745480649.18851435</v>
      </c>
      <c r="K74" s="61">
        <f t="shared" si="18"/>
        <v>351281.4</v>
      </c>
      <c r="L74" s="61">
        <f t="shared" si="19"/>
        <v>330497.90000000002</v>
      </c>
      <c r="M74" s="61">
        <f t="shared" si="20"/>
        <v>300081.40000000002</v>
      </c>
      <c r="N74" s="83">
        <v>2.0520500000000001E-3</v>
      </c>
      <c r="O74" s="80">
        <f t="shared" si="21"/>
        <v>3.90341365951122E-2</v>
      </c>
      <c r="P74" s="61">
        <f t="shared" si="22"/>
        <v>171185594.89291197</v>
      </c>
      <c r="Q74" s="61">
        <f t="shared" si="23"/>
        <v>161057430.37450355</v>
      </c>
      <c r="R74" s="61">
        <f t="shared" si="24"/>
        <v>146234935.7959114</v>
      </c>
      <c r="S74" s="61">
        <v>3512814</v>
      </c>
      <c r="T74" s="61">
        <v>3144355</v>
      </c>
      <c r="U74" s="61">
        <v>1382226</v>
      </c>
      <c r="V74" s="61">
        <v>0</v>
      </c>
      <c r="W74" s="61">
        <v>1369874</v>
      </c>
      <c r="X74" s="61"/>
      <c r="Y74" s="61"/>
      <c r="Z74" s="61"/>
      <c r="AA74" s="61">
        <v>368459</v>
      </c>
      <c r="AB74" s="61"/>
      <c r="AC74" s="61"/>
      <c r="AD74" s="61">
        <v>3304979</v>
      </c>
      <c r="AE74" s="61">
        <v>7414923</v>
      </c>
      <c r="AF74" s="61">
        <v>4414109</v>
      </c>
      <c r="AG74" s="61">
        <v>75672</v>
      </c>
      <c r="AH74" s="61">
        <v>71006</v>
      </c>
      <c r="AI74" s="61"/>
      <c r="AJ74" s="61"/>
      <c r="AK74" s="61"/>
      <c r="AL74" s="61">
        <v>4666</v>
      </c>
      <c r="AM74" s="61"/>
      <c r="AN74" s="61"/>
      <c r="AO74" s="61">
        <v>0</v>
      </c>
      <c r="AP74" s="61">
        <v>2466878</v>
      </c>
      <c r="AQ74" s="61">
        <v>1871559</v>
      </c>
      <c r="AR74" s="61">
        <v>3000814</v>
      </c>
      <c r="AS74" s="61">
        <v>1780072</v>
      </c>
      <c r="AT74" s="61">
        <v>1203650</v>
      </c>
      <c r="AU74" s="61">
        <v>576422</v>
      </c>
      <c r="AV74" s="61">
        <v>1220742</v>
      </c>
      <c r="AW74" s="65">
        <v>0.80100000000000005</v>
      </c>
      <c r="AX74">
        <f t="shared" si="14"/>
        <v>8010</v>
      </c>
      <c r="AY74" s="78">
        <f t="shared" si="25"/>
        <v>8.0099999999999995E-5</v>
      </c>
    </row>
    <row r="75" spans="1:55" x14ac:dyDescent="0.25">
      <c r="A75" s="57"/>
      <c r="B75" s="58" t="s">
        <v>98</v>
      </c>
      <c r="C75" s="55"/>
      <c r="D75" s="59" t="s">
        <v>111</v>
      </c>
      <c r="E75" s="59">
        <v>1000</v>
      </c>
      <c r="F75" s="60">
        <v>1E-4</v>
      </c>
      <c r="G75" s="61">
        <v>907338</v>
      </c>
      <c r="H75" s="61">
        <f t="shared" si="15"/>
        <v>90733.8</v>
      </c>
      <c r="I75" s="146">
        <f t="shared" si="16"/>
        <v>8.0099999999999995E-5</v>
      </c>
      <c r="J75" s="61">
        <f t="shared" si="17"/>
        <v>1132756554.3071163</v>
      </c>
      <c r="K75" s="61">
        <f t="shared" si="18"/>
        <v>364825.60000000003</v>
      </c>
      <c r="L75" s="61">
        <f t="shared" si="19"/>
        <v>355548.10000000003</v>
      </c>
      <c r="M75" s="61">
        <f t="shared" si="20"/>
        <v>342382</v>
      </c>
      <c r="N75" s="83">
        <v>2.1151099999999999E-3</v>
      </c>
      <c r="O75" s="80">
        <f t="shared" si="21"/>
        <v>3.7870370808137641E-2</v>
      </c>
      <c r="P75" s="61">
        <f t="shared" si="22"/>
        <v>172485402.65045318</v>
      </c>
      <c r="Q75" s="61">
        <f t="shared" si="23"/>
        <v>168099105.9566642</v>
      </c>
      <c r="R75" s="61">
        <f t="shared" si="24"/>
        <v>161874323.3212457</v>
      </c>
      <c r="S75" s="61">
        <v>3648256</v>
      </c>
      <c r="T75" s="61">
        <v>3277605</v>
      </c>
      <c r="U75" s="61">
        <v>1382039</v>
      </c>
      <c r="V75" s="61">
        <v>0</v>
      </c>
      <c r="W75" s="61">
        <v>1369874</v>
      </c>
      <c r="X75" s="61"/>
      <c r="Y75" s="61"/>
      <c r="Z75" s="61"/>
      <c r="AA75" s="61">
        <v>370651</v>
      </c>
      <c r="AB75" s="61"/>
      <c r="AC75" s="61"/>
      <c r="AD75" s="61">
        <v>3555481</v>
      </c>
      <c r="AE75" s="61">
        <v>8111075</v>
      </c>
      <c r="AF75" s="61">
        <v>4687255</v>
      </c>
      <c r="AG75" s="61">
        <v>74178</v>
      </c>
      <c r="AH75" s="61">
        <v>72141</v>
      </c>
      <c r="AI75" s="61"/>
      <c r="AJ75" s="61"/>
      <c r="AK75" s="61"/>
      <c r="AL75" s="61">
        <v>2037</v>
      </c>
      <c r="AM75" s="61"/>
      <c r="AN75" s="61"/>
      <c r="AO75" s="61">
        <v>0</v>
      </c>
      <c r="AP75" s="61">
        <v>3171403</v>
      </c>
      <c r="AQ75" s="61">
        <v>1441674</v>
      </c>
      <c r="AR75" s="61">
        <v>3423820</v>
      </c>
      <c r="AS75" s="61">
        <v>1869728</v>
      </c>
      <c r="AT75" s="61">
        <v>1253341</v>
      </c>
      <c r="AU75" s="61">
        <v>616387</v>
      </c>
      <c r="AV75" s="61">
        <v>1554092</v>
      </c>
      <c r="AW75" s="65">
        <v>0.80100000000000005</v>
      </c>
      <c r="AX75">
        <f t="shared" si="14"/>
        <v>8010</v>
      </c>
      <c r="AY75" s="78">
        <f t="shared" si="25"/>
        <v>8.0099999999999995E-5</v>
      </c>
    </row>
    <row r="76" spans="1:55" x14ac:dyDescent="0.25">
      <c r="A76" s="57"/>
      <c r="B76" s="58" t="s">
        <v>99</v>
      </c>
      <c r="C76" s="55"/>
      <c r="D76" s="59" t="s">
        <v>111</v>
      </c>
      <c r="E76" s="59">
        <v>1000</v>
      </c>
      <c r="F76" s="60">
        <v>1E-4</v>
      </c>
      <c r="G76" s="61">
        <v>911808</v>
      </c>
      <c r="H76" s="61">
        <f t="shared" si="15"/>
        <v>91180.800000000003</v>
      </c>
      <c r="I76" s="146">
        <f t="shared" si="16"/>
        <v>8.0099999999999995E-5</v>
      </c>
      <c r="J76" s="61">
        <f t="shared" si="17"/>
        <v>1138337078.6516855</v>
      </c>
      <c r="K76" s="61">
        <f t="shared" si="18"/>
        <v>376940.2</v>
      </c>
      <c r="L76" s="61">
        <f t="shared" si="19"/>
        <v>398386.5</v>
      </c>
      <c r="M76" s="61">
        <f t="shared" si="20"/>
        <v>358847.2</v>
      </c>
      <c r="N76" s="83">
        <v>2.1572599999999998E-3</v>
      </c>
      <c r="O76" s="80">
        <f t="shared" si="21"/>
        <v>3.7130433976433071E-2</v>
      </c>
      <c r="P76" s="61">
        <f t="shared" si="22"/>
        <v>174731001.36283991</v>
      </c>
      <c r="Q76" s="61">
        <f t="shared" si="23"/>
        <v>184672454.87331152</v>
      </c>
      <c r="R76" s="61">
        <f t="shared" si="24"/>
        <v>166343973.37363139</v>
      </c>
      <c r="S76" s="61">
        <v>3769402</v>
      </c>
      <c r="T76" s="61">
        <v>3398751</v>
      </c>
      <c r="U76" s="61">
        <v>1382139</v>
      </c>
      <c r="V76" s="61">
        <v>0</v>
      </c>
      <c r="W76" s="61">
        <v>1369730</v>
      </c>
      <c r="X76" s="61"/>
      <c r="Y76" s="61"/>
      <c r="Z76" s="61"/>
      <c r="AA76" s="61">
        <v>370651</v>
      </c>
      <c r="AB76" s="61"/>
      <c r="AC76" s="61"/>
      <c r="AD76" s="61">
        <v>3983865</v>
      </c>
      <c r="AE76" s="61">
        <v>8665075</v>
      </c>
      <c r="AF76" s="61">
        <v>5076603</v>
      </c>
      <c r="AG76" s="61">
        <v>103187</v>
      </c>
      <c r="AH76" s="61">
        <v>77949</v>
      </c>
      <c r="AI76" s="61"/>
      <c r="AJ76" s="61"/>
      <c r="AK76" s="61"/>
      <c r="AL76" s="61">
        <v>25238</v>
      </c>
      <c r="AM76" s="61"/>
      <c r="AN76" s="61"/>
      <c r="AO76" s="61">
        <v>0</v>
      </c>
      <c r="AP76" s="61">
        <v>3362580</v>
      </c>
      <c r="AQ76" s="61">
        <v>1610836</v>
      </c>
      <c r="AR76" s="61">
        <v>3588472</v>
      </c>
      <c r="AS76" s="61">
        <v>1951961</v>
      </c>
      <c r="AT76" s="61">
        <v>1266238</v>
      </c>
      <c r="AU76" s="61">
        <v>685723</v>
      </c>
      <c r="AV76" s="61">
        <v>1636511</v>
      </c>
      <c r="AW76" s="65">
        <v>0.80100000000000005</v>
      </c>
      <c r="AX76">
        <f t="shared" si="14"/>
        <v>8010</v>
      </c>
      <c r="AY76" s="78">
        <f t="shared" si="25"/>
        <v>8.0099999999999995E-5</v>
      </c>
    </row>
    <row r="77" spans="1:55" x14ac:dyDescent="0.25">
      <c r="A77" s="57"/>
      <c r="B77" s="58" t="s">
        <v>100</v>
      </c>
      <c r="C77" s="55"/>
      <c r="D77" s="59" t="s">
        <v>111</v>
      </c>
      <c r="E77" s="59">
        <v>1000</v>
      </c>
      <c r="F77" s="60">
        <v>1E-4</v>
      </c>
      <c r="G77" s="61">
        <v>1143400</v>
      </c>
      <c r="H77" s="61">
        <f t="shared" si="15"/>
        <v>114340</v>
      </c>
      <c r="I77" s="146">
        <f t="shared" si="16"/>
        <v>8.0099999999999995E-5</v>
      </c>
      <c r="J77" s="61">
        <f t="shared" si="17"/>
        <v>1427465667.9151063</v>
      </c>
      <c r="K77" s="61">
        <f t="shared" si="18"/>
        <v>388736.80000000005</v>
      </c>
      <c r="L77" s="61">
        <f t="shared" si="19"/>
        <v>418965</v>
      </c>
      <c r="M77" s="61">
        <f t="shared" si="20"/>
        <v>399179.30000000005</v>
      </c>
      <c r="N77" s="83">
        <v>2.1990899999999999E-3</v>
      </c>
      <c r="O77" s="80">
        <f t="shared" si="21"/>
        <v>3.6424157265050543E-2</v>
      </c>
      <c r="P77" s="61">
        <f t="shared" si="22"/>
        <v>176771664.64310241</v>
      </c>
      <c r="Q77" s="61">
        <f t="shared" si="23"/>
        <v>190517441.30526718</v>
      </c>
      <c r="R77" s="61">
        <f t="shared" si="24"/>
        <v>181520219.72725084</v>
      </c>
      <c r="S77" s="61">
        <v>3887368</v>
      </c>
      <c r="T77" s="61">
        <v>3512584</v>
      </c>
      <c r="U77" s="61">
        <v>1382456</v>
      </c>
      <c r="V77" s="61">
        <v>0</v>
      </c>
      <c r="W77" s="61">
        <v>1369729</v>
      </c>
      <c r="X77" s="61"/>
      <c r="Y77" s="61"/>
      <c r="Z77" s="61"/>
      <c r="AA77" s="61">
        <v>374784</v>
      </c>
      <c r="AB77" s="61"/>
      <c r="AC77" s="61"/>
      <c r="AD77" s="61">
        <v>4189650</v>
      </c>
      <c r="AE77" s="61">
        <v>9220418</v>
      </c>
      <c r="AF77" s="61">
        <v>5228625</v>
      </c>
      <c r="AG77" s="61">
        <v>20521</v>
      </c>
      <c r="AH77" s="61">
        <v>16046</v>
      </c>
      <c r="AI77" s="61"/>
      <c r="AJ77" s="61"/>
      <c r="AK77" s="61"/>
      <c r="AL77" s="61">
        <v>4475</v>
      </c>
      <c r="AM77" s="61"/>
      <c r="AN77" s="61"/>
      <c r="AO77" s="61">
        <v>0</v>
      </c>
      <c r="AP77" s="61">
        <v>3616712</v>
      </c>
      <c r="AQ77" s="61">
        <v>1591392</v>
      </c>
      <c r="AR77" s="61">
        <v>3991793</v>
      </c>
      <c r="AS77" s="61">
        <v>2142406</v>
      </c>
      <c r="AT77" s="61">
        <v>1404136</v>
      </c>
      <c r="AU77" s="61">
        <v>738270</v>
      </c>
      <c r="AV77" s="61">
        <v>1849387</v>
      </c>
      <c r="AW77" s="65">
        <v>0.80100000000000005</v>
      </c>
      <c r="AX77">
        <f t="shared" si="14"/>
        <v>8010</v>
      </c>
      <c r="AY77" s="78">
        <f t="shared" si="25"/>
        <v>8.0099999999999995E-5</v>
      </c>
    </row>
    <row r="78" spans="1:55" x14ac:dyDescent="0.25">
      <c r="A78" s="57"/>
      <c r="B78" s="58" t="s">
        <v>101</v>
      </c>
      <c r="C78" s="55"/>
      <c r="D78" s="59" t="s">
        <v>111</v>
      </c>
      <c r="E78" s="59">
        <v>1000</v>
      </c>
      <c r="F78" s="60">
        <v>1E-4</v>
      </c>
      <c r="G78" s="61">
        <v>1338810</v>
      </c>
      <c r="H78" s="61">
        <f t="shared" si="15"/>
        <v>133881</v>
      </c>
      <c r="I78" s="146">
        <f t="shared" si="16"/>
        <v>8.0099999999999995E-5</v>
      </c>
      <c r="J78" s="61">
        <f t="shared" si="17"/>
        <v>1671423220.9737828</v>
      </c>
      <c r="K78" s="61">
        <f t="shared" si="18"/>
        <v>401173.2</v>
      </c>
      <c r="L78" s="61">
        <f t="shared" si="19"/>
        <v>414063.4</v>
      </c>
      <c r="M78" s="61">
        <f t="shared" si="20"/>
        <v>442979.7</v>
      </c>
      <c r="N78" s="83">
        <v>2.2512299999999999E-3</v>
      </c>
      <c r="O78" s="80">
        <f t="shared" si="21"/>
        <v>3.5580549299716158E-2</v>
      </c>
      <c r="P78" s="61">
        <f t="shared" si="22"/>
        <v>178201783.02527952</v>
      </c>
      <c r="Q78" s="61">
        <f t="shared" si="23"/>
        <v>183927630.67300987</v>
      </c>
      <c r="R78" s="61">
        <f t="shared" si="24"/>
        <v>196772297.81053025</v>
      </c>
      <c r="S78" s="61">
        <v>4011732</v>
      </c>
      <c r="T78" s="61">
        <v>3632847</v>
      </c>
      <c r="U78" s="61">
        <v>1382411</v>
      </c>
      <c r="V78" s="61">
        <v>0</v>
      </c>
      <c r="W78" s="61">
        <v>1369396</v>
      </c>
      <c r="X78" s="61"/>
      <c r="Y78" s="61"/>
      <c r="Z78" s="61"/>
      <c r="AA78" s="61">
        <v>378885</v>
      </c>
      <c r="AB78" s="61"/>
      <c r="AC78" s="61"/>
      <c r="AD78" s="61">
        <v>4140634</v>
      </c>
      <c r="AE78" s="61">
        <v>9491176</v>
      </c>
      <c r="AF78" s="61">
        <v>5061379</v>
      </c>
      <c r="AG78" s="61">
        <v>20241</v>
      </c>
      <c r="AH78" s="61">
        <v>14451</v>
      </c>
      <c r="AI78" s="61"/>
      <c r="AJ78" s="61"/>
      <c r="AK78" s="61"/>
      <c r="AL78" s="61">
        <v>5790</v>
      </c>
      <c r="AM78" s="61"/>
      <c r="AN78" s="61"/>
      <c r="AO78" s="61">
        <v>0</v>
      </c>
      <c r="AP78" s="61">
        <v>3502250</v>
      </c>
      <c r="AQ78" s="61">
        <v>1538888</v>
      </c>
      <c r="AR78" s="61">
        <v>4429797</v>
      </c>
      <c r="AS78" s="61">
        <v>2307842</v>
      </c>
      <c r="AT78" s="61">
        <v>1516163</v>
      </c>
      <c r="AU78" s="61">
        <v>791679</v>
      </c>
      <c r="AV78" s="61">
        <v>2121955</v>
      </c>
      <c r="AW78" s="65">
        <v>0.80100000000000005</v>
      </c>
      <c r="AX78">
        <f t="shared" si="14"/>
        <v>8010</v>
      </c>
      <c r="AY78" s="78">
        <f t="shared" si="25"/>
        <v>8.0099999999999995E-5</v>
      </c>
    </row>
    <row r="79" spans="1:55" x14ac:dyDescent="0.25">
      <c r="A79" s="57"/>
      <c r="B79" s="58" t="s">
        <v>102</v>
      </c>
      <c r="C79" s="55"/>
      <c r="D79" s="59" t="s">
        <v>111</v>
      </c>
      <c r="E79" s="59">
        <v>1000</v>
      </c>
      <c r="F79" s="60">
        <v>1E-4</v>
      </c>
      <c r="G79" s="61">
        <v>-868937</v>
      </c>
      <c r="H79" s="61">
        <f t="shared" si="15"/>
        <v>-86893.7</v>
      </c>
      <c r="I79" s="146">
        <f t="shared" si="16"/>
        <v>8.0099999999999995E-5</v>
      </c>
      <c r="J79" s="61">
        <f t="shared" si="17"/>
        <v>-1084815230.9612985</v>
      </c>
      <c r="K79" s="61">
        <f t="shared" si="18"/>
        <v>702136</v>
      </c>
      <c r="L79" s="61">
        <f t="shared" si="19"/>
        <v>455135.30000000005</v>
      </c>
      <c r="M79" s="61">
        <f t="shared" si="20"/>
        <v>515385.9</v>
      </c>
      <c r="N79" s="83">
        <v>2.3227199999999999E-3</v>
      </c>
      <c r="O79" s="80">
        <f t="shared" si="21"/>
        <v>3.448543087414755E-2</v>
      </c>
      <c r="P79" s="61">
        <f t="shared" si="22"/>
        <v>302290418.13046771</v>
      </c>
      <c r="Q79" s="61">
        <f t="shared" si="23"/>
        <v>195949274.9879452</v>
      </c>
      <c r="R79" s="61">
        <f t="shared" si="24"/>
        <v>221888949.16305023</v>
      </c>
      <c r="S79" s="61">
        <v>7021360</v>
      </c>
      <c r="T79" s="61">
        <v>3663288</v>
      </c>
      <c r="U79" s="61">
        <v>1380659</v>
      </c>
      <c r="V79" s="61">
        <v>0</v>
      </c>
      <c r="W79" s="61">
        <v>1368917</v>
      </c>
      <c r="X79" s="61"/>
      <c r="Y79" s="61"/>
      <c r="Z79" s="61"/>
      <c r="AA79" s="61">
        <v>3358072</v>
      </c>
      <c r="AB79" s="61"/>
      <c r="AC79" s="61"/>
      <c r="AD79" s="61">
        <v>4551353</v>
      </c>
      <c r="AE79" s="61">
        <v>10703776</v>
      </c>
      <c r="AF79" s="61">
        <v>5549917</v>
      </c>
      <c r="AG79" s="61">
        <v>257778</v>
      </c>
      <c r="AH79" s="61">
        <v>252732</v>
      </c>
      <c r="AI79" s="61"/>
      <c r="AJ79" s="61"/>
      <c r="AK79" s="61"/>
      <c r="AL79" s="61">
        <v>5046</v>
      </c>
      <c r="AM79" s="61"/>
      <c r="AN79" s="61"/>
      <c r="AO79" s="61">
        <v>0</v>
      </c>
      <c r="AP79" s="61">
        <v>3572774</v>
      </c>
      <c r="AQ79" s="61">
        <v>1719365</v>
      </c>
      <c r="AR79" s="61">
        <v>5153859</v>
      </c>
      <c r="AS79" s="61">
        <v>2988361</v>
      </c>
      <c r="AT79" s="61">
        <v>2014750</v>
      </c>
      <c r="AU79" s="61">
        <v>973611</v>
      </c>
      <c r="AV79" s="61">
        <v>2165498</v>
      </c>
      <c r="AW79" s="65">
        <v>0.80100000000000005</v>
      </c>
      <c r="AX79">
        <f t="shared" si="14"/>
        <v>8010</v>
      </c>
      <c r="AY79" s="78">
        <f t="shared" si="25"/>
        <v>8.0099999999999995E-5</v>
      </c>
      <c r="BA79" s="68">
        <v>1985</v>
      </c>
      <c r="BB79" s="71">
        <v>7.2000000000000002E-5</v>
      </c>
      <c r="BC79">
        <f>+BB79*100000000</f>
        <v>7200</v>
      </c>
    </row>
    <row r="80" spans="1:55" x14ac:dyDescent="0.25">
      <c r="A80" s="62">
        <v>1986.01</v>
      </c>
      <c r="B80" s="58" t="s">
        <v>108</v>
      </c>
      <c r="C80" s="55"/>
      <c r="D80" s="59" t="s">
        <v>111</v>
      </c>
      <c r="E80" s="59">
        <v>1000</v>
      </c>
      <c r="F80" s="60">
        <v>1E-4</v>
      </c>
      <c r="G80" s="61">
        <v>-628630</v>
      </c>
      <c r="H80" s="61">
        <f t="shared" si="15"/>
        <v>-62863</v>
      </c>
      <c r="I80" s="146">
        <f t="shared" si="16"/>
        <v>8.0099999999999995E-5</v>
      </c>
      <c r="J80" s="61">
        <f t="shared" si="17"/>
        <v>-784806491.88514364</v>
      </c>
      <c r="K80" s="61">
        <f t="shared" si="18"/>
        <v>711779</v>
      </c>
      <c r="L80" s="61">
        <f t="shared" si="19"/>
        <v>460846.9</v>
      </c>
      <c r="M80" s="61">
        <f t="shared" si="20"/>
        <v>498223.4</v>
      </c>
      <c r="N80" s="83">
        <v>2.39296E-3</v>
      </c>
      <c r="O80" s="80">
        <f t="shared" si="21"/>
        <v>3.3473188018186682E-2</v>
      </c>
      <c r="P80" s="61">
        <f t="shared" si="22"/>
        <v>297447094.81144691</v>
      </c>
      <c r="Q80" s="61">
        <f t="shared" si="23"/>
        <v>192584456.07114202</v>
      </c>
      <c r="R80" s="61">
        <f t="shared" si="24"/>
        <v>208203814.52259964</v>
      </c>
      <c r="S80" s="61">
        <v>7117790</v>
      </c>
      <c r="T80" s="61">
        <v>3787051</v>
      </c>
      <c r="U80" s="61">
        <v>1380583</v>
      </c>
      <c r="V80" s="61">
        <v>0</v>
      </c>
      <c r="W80" s="61">
        <v>1368748</v>
      </c>
      <c r="X80" s="61"/>
      <c r="Y80" s="61"/>
      <c r="Z80" s="61"/>
      <c r="AA80" s="61">
        <v>3330739</v>
      </c>
      <c r="AB80" s="61"/>
      <c r="AC80" s="61"/>
      <c r="AD80" s="61">
        <v>4608469</v>
      </c>
      <c r="AE80" s="61">
        <v>11097629</v>
      </c>
      <c r="AF80" s="61">
        <v>6115395</v>
      </c>
      <c r="AG80" s="61">
        <v>196597</v>
      </c>
      <c r="AH80" s="61">
        <v>187557</v>
      </c>
      <c r="AI80" s="61"/>
      <c r="AJ80" s="61"/>
      <c r="AK80" s="61"/>
      <c r="AL80" s="61">
        <v>9040</v>
      </c>
      <c r="AM80" s="61"/>
      <c r="AN80" s="61"/>
      <c r="AO80" s="61">
        <v>0</v>
      </c>
      <c r="AP80" s="61">
        <v>4069660</v>
      </c>
      <c r="AQ80" s="61">
        <v>1849138</v>
      </c>
      <c r="AR80" s="61">
        <v>4982234</v>
      </c>
      <c r="AS80" s="61">
        <v>2986318</v>
      </c>
      <c r="AT80" s="61">
        <v>1976076</v>
      </c>
      <c r="AU80" s="61">
        <v>1010242</v>
      </c>
      <c r="AV80" s="61">
        <v>1995916</v>
      </c>
      <c r="AW80" s="65">
        <v>0.80100000000000005</v>
      </c>
      <c r="AX80">
        <f t="shared" si="14"/>
        <v>8010</v>
      </c>
      <c r="AY80" s="78">
        <f t="shared" si="25"/>
        <v>8.0099999999999995E-5</v>
      </c>
    </row>
    <row r="81" spans="1:55" x14ac:dyDescent="0.25">
      <c r="A81" s="57"/>
      <c r="B81" s="58" t="s">
        <v>104</v>
      </c>
      <c r="C81" s="55"/>
      <c r="D81" s="59" t="s">
        <v>111</v>
      </c>
      <c r="E81" s="59">
        <v>1000</v>
      </c>
      <c r="F81" s="60">
        <v>1E-4</v>
      </c>
      <c r="G81" s="61">
        <v>-639267</v>
      </c>
      <c r="H81" s="61">
        <f t="shared" si="15"/>
        <v>-63926.700000000004</v>
      </c>
      <c r="I81" s="146">
        <f t="shared" si="16"/>
        <v>8.0099999999999995E-5</v>
      </c>
      <c r="J81" s="61">
        <f t="shared" si="17"/>
        <v>-798086142.32209742</v>
      </c>
      <c r="K81" s="61">
        <f t="shared" si="18"/>
        <v>771779.9</v>
      </c>
      <c r="L81" s="61">
        <f t="shared" si="19"/>
        <v>496599.5</v>
      </c>
      <c r="M81" s="61">
        <f t="shared" si="20"/>
        <v>453698.4</v>
      </c>
      <c r="N81" s="83">
        <v>2.43355E-3</v>
      </c>
      <c r="O81" s="80">
        <f t="shared" si="21"/>
        <v>3.2914877442419506E-2</v>
      </c>
      <c r="P81" s="61">
        <f t="shared" si="22"/>
        <v>317141583.2836802</v>
      </c>
      <c r="Q81" s="61">
        <f t="shared" si="23"/>
        <v>204063816.23554066</v>
      </c>
      <c r="R81" s="61">
        <f t="shared" si="24"/>
        <v>186434796.90164575</v>
      </c>
      <c r="S81" s="61">
        <v>7717799</v>
      </c>
      <c r="T81" s="61">
        <v>3907485</v>
      </c>
      <c r="U81" s="61">
        <v>1376790</v>
      </c>
      <c r="V81" s="61">
        <v>0</v>
      </c>
      <c r="W81" s="61">
        <v>1365751</v>
      </c>
      <c r="X81" s="61"/>
      <c r="Y81" s="61"/>
      <c r="Z81" s="61"/>
      <c r="AA81" s="61">
        <v>3810314</v>
      </c>
      <c r="AB81" s="61"/>
      <c r="AC81" s="61"/>
      <c r="AD81" s="61">
        <v>4965995</v>
      </c>
      <c r="AE81" s="61">
        <v>12044527</v>
      </c>
      <c r="AF81" s="61">
        <v>7507543</v>
      </c>
      <c r="AG81" s="61">
        <v>484734</v>
      </c>
      <c r="AH81" s="61">
        <v>474423</v>
      </c>
      <c r="AI81" s="61"/>
      <c r="AJ81" s="61"/>
      <c r="AK81" s="61"/>
      <c r="AL81" s="61">
        <v>10311</v>
      </c>
      <c r="AM81" s="61"/>
      <c r="AN81" s="61"/>
      <c r="AO81" s="61">
        <v>0</v>
      </c>
      <c r="AP81" s="61">
        <v>5011631</v>
      </c>
      <c r="AQ81" s="61">
        <v>2011178</v>
      </c>
      <c r="AR81" s="61">
        <v>4536984</v>
      </c>
      <c r="AS81" s="61">
        <v>2936915</v>
      </c>
      <c r="AT81" s="61">
        <v>1924555</v>
      </c>
      <c r="AU81" s="61">
        <v>1012360</v>
      </c>
      <c r="AV81" s="61">
        <v>1600069</v>
      </c>
      <c r="AW81" s="65">
        <v>0.80100000000000005</v>
      </c>
      <c r="AX81">
        <f t="shared" si="14"/>
        <v>8010</v>
      </c>
      <c r="AY81" s="78">
        <f t="shared" si="25"/>
        <v>8.0099999999999995E-5</v>
      </c>
    </row>
    <row r="82" spans="1:55" x14ac:dyDescent="0.25">
      <c r="A82" s="57"/>
      <c r="B82" s="58" t="s">
        <v>105</v>
      </c>
      <c r="C82" s="55"/>
      <c r="D82" s="59" t="s">
        <v>111</v>
      </c>
      <c r="E82" s="59">
        <v>1000</v>
      </c>
      <c r="F82" s="60">
        <v>1E-4</v>
      </c>
      <c r="G82" s="61">
        <v>-884916</v>
      </c>
      <c r="H82" s="61">
        <f t="shared" si="15"/>
        <v>-88491.6</v>
      </c>
      <c r="I82" s="146">
        <f t="shared" si="16"/>
        <v>8.0099999999999995E-5</v>
      </c>
      <c r="J82" s="61">
        <f t="shared" si="17"/>
        <v>-1104764044.9438205</v>
      </c>
      <c r="K82" s="61">
        <f t="shared" si="18"/>
        <v>785672.4</v>
      </c>
      <c r="L82" s="61">
        <f t="shared" si="19"/>
        <v>510418.7</v>
      </c>
      <c r="M82" s="61">
        <f t="shared" si="20"/>
        <v>515035.60000000003</v>
      </c>
      <c r="N82" s="83">
        <v>2.5465599999999998E-3</v>
      </c>
      <c r="O82" s="80">
        <f t="shared" si="21"/>
        <v>3.145419703443076E-2</v>
      </c>
      <c r="P82" s="61">
        <f t="shared" si="22"/>
        <v>308523027.14249814</v>
      </c>
      <c r="Q82" s="61">
        <f t="shared" si="23"/>
        <v>200434586.26539335</v>
      </c>
      <c r="R82" s="61">
        <f t="shared" si="24"/>
        <v>202247581.05051523</v>
      </c>
      <c r="S82" s="61">
        <v>7856724</v>
      </c>
      <c r="T82" s="61">
        <v>4063007</v>
      </c>
      <c r="U82" s="61">
        <v>1377104</v>
      </c>
      <c r="V82" s="61">
        <v>0</v>
      </c>
      <c r="W82" s="61">
        <v>1365751</v>
      </c>
      <c r="X82" s="61"/>
      <c r="Y82" s="61"/>
      <c r="Z82" s="61"/>
      <c r="AA82" s="61">
        <v>3793717</v>
      </c>
      <c r="AB82" s="61"/>
      <c r="AC82" s="61"/>
      <c r="AD82" s="61">
        <v>5104187</v>
      </c>
      <c r="AE82" s="61">
        <v>12075995</v>
      </c>
      <c r="AF82" s="61">
        <v>6925639</v>
      </c>
      <c r="AG82" s="61">
        <v>103453</v>
      </c>
      <c r="AH82" s="61">
        <v>92585</v>
      </c>
      <c r="AI82" s="61"/>
      <c r="AJ82" s="61"/>
      <c r="AK82" s="61"/>
      <c r="AL82" s="61">
        <v>10868</v>
      </c>
      <c r="AM82" s="61"/>
      <c r="AN82" s="61"/>
      <c r="AO82" s="61">
        <v>0</v>
      </c>
      <c r="AP82" s="61">
        <v>4718090</v>
      </c>
      <c r="AQ82" s="61">
        <v>2104096</v>
      </c>
      <c r="AR82" s="61">
        <v>5150356</v>
      </c>
      <c r="AS82" s="61">
        <v>3092356</v>
      </c>
      <c r="AT82" s="61">
        <v>1852618</v>
      </c>
      <c r="AU82" s="61">
        <v>1239738</v>
      </c>
      <c r="AV82" s="61">
        <v>2058000</v>
      </c>
      <c r="AW82" s="65">
        <v>0.80100000000000005</v>
      </c>
      <c r="AX82">
        <f t="shared" si="14"/>
        <v>8010</v>
      </c>
      <c r="AY82" s="78">
        <f t="shared" si="25"/>
        <v>8.0099999999999995E-5</v>
      </c>
    </row>
    <row r="83" spans="1:55" x14ac:dyDescent="0.25">
      <c r="A83" s="57"/>
      <c r="B83" s="58" t="s">
        <v>106</v>
      </c>
      <c r="C83" s="55"/>
      <c r="D83" s="59" t="s">
        <v>111</v>
      </c>
      <c r="E83" s="59">
        <v>1000</v>
      </c>
      <c r="F83" s="60">
        <v>1E-4</v>
      </c>
      <c r="G83" s="61">
        <v>-604708</v>
      </c>
      <c r="H83" s="61">
        <f t="shared" si="15"/>
        <v>-60470.8</v>
      </c>
      <c r="I83" s="146">
        <f t="shared" si="16"/>
        <v>8.4099999999999998E-5</v>
      </c>
      <c r="J83" s="61">
        <f t="shared" si="17"/>
        <v>-719034482.75862074</v>
      </c>
      <c r="K83" s="61">
        <f t="shared" si="18"/>
        <v>824417.10000000009</v>
      </c>
      <c r="L83" s="61">
        <f t="shared" si="19"/>
        <v>543453.6</v>
      </c>
      <c r="M83" s="61">
        <f t="shared" si="20"/>
        <v>524002.7</v>
      </c>
      <c r="N83" s="83">
        <v>2.6670700000000001E-3</v>
      </c>
      <c r="O83" s="80">
        <f t="shared" si="21"/>
        <v>3.1532730674485483E-2</v>
      </c>
      <c r="P83" s="61">
        <f t="shared" si="22"/>
        <v>309109659.66397583</v>
      </c>
      <c r="Q83" s="61">
        <f t="shared" si="23"/>
        <v>203764280.65255129</v>
      </c>
      <c r="R83" s="61">
        <f t="shared" si="24"/>
        <v>196471296.21644726</v>
      </c>
      <c r="S83" s="61">
        <v>8244171</v>
      </c>
      <c r="T83" s="61">
        <v>4226084</v>
      </c>
      <c r="U83" s="61">
        <v>1372845</v>
      </c>
      <c r="V83" s="61">
        <v>0</v>
      </c>
      <c r="W83" s="61">
        <v>1365751</v>
      </c>
      <c r="X83" s="61"/>
      <c r="Y83" s="61"/>
      <c r="Z83" s="61"/>
      <c r="AA83" s="61">
        <v>4018087</v>
      </c>
      <c r="AB83" s="61"/>
      <c r="AC83" s="61"/>
      <c r="AD83" s="61">
        <v>5434536</v>
      </c>
      <c r="AE83" s="61">
        <v>13073999</v>
      </c>
      <c r="AF83" s="61">
        <v>7833972</v>
      </c>
      <c r="AG83" s="61">
        <v>168962</v>
      </c>
      <c r="AH83" s="61">
        <v>162811</v>
      </c>
      <c r="AI83" s="61"/>
      <c r="AJ83" s="61"/>
      <c r="AK83" s="61"/>
      <c r="AL83" s="61">
        <v>6151</v>
      </c>
      <c r="AM83" s="61"/>
      <c r="AN83" s="61"/>
      <c r="AO83" s="61">
        <v>0</v>
      </c>
      <c r="AP83" s="61">
        <v>5276975</v>
      </c>
      <c r="AQ83" s="61">
        <v>2388035</v>
      </c>
      <c r="AR83" s="61">
        <v>5240027</v>
      </c>
      <c r="AS83" s="61">
        <v>3207026</v>
      </c>
      <c r="AT83" s="61">
        <v>2008261</v>
      </c>
      <c r="AU83" s="61">
        <v>1198765</v>
      </c>
      <c r="AV83" s="61">
        <v>2033001</v>
      </c>
      <c r="AW83" s="65">
        <v>0.84099999999999997</v>
      </c>
      <c r="AX83">
        <f t="shared" si="14"/>
        <v>8410</v>
      </c>
      <c r="AY83" s="78">
        <f t="shared" si="25"/>
        <v>8.4099999999999998E-5</v>
      </c>
    </row>
    <row r="84" spans="1:55" x14ac:dyDescent="0.25">
      <c r="A84" s="57"/>
      <c r="B84" s="58" t="s">
        <v>107</v>
      </c>
      <c r="C84" s="55"/>
      <c r="D84" s="59" t="s">
        <v>111</v>
      </c>
      <c r="E84" s="59">
        <v>1000</v>
      </c>
      <c r="F84" s="60">
        <v>1E-4</v>
      </c>
      <c r="G84" s="61">
        <v>-393614</v>
      </c>
      <c r="H84" s="61">
        <f t="shared" si="15"/>
        <v>-39361.4</v>
      </c>
      <c r="I84" s="146">
        <f t="shared" si="16"/>
        <v>8.6100000000000006E-5</v>
      </c>
      <c r="J84" s="61">
        <f t="shared" si="17"/>
        <v>-457159117.30545878</v>
      </c>
      <c r="K84" s="61">
        <f t="shared" si="18"/>
        <v>865727.70000000007</v>
      </c>
      <c r="L84" s="61">
        <f t="shared" si="19"/>
        <v>563967.80000000005</v>
      </c>
      <c r="M84" s="61">
        <f t="shared" si="20"/>
        <v>543208.4</v>
      </c>
      <c r="N84" s="83">
        <v>2.7744599999999999E-3</v>
      </c>
      <c r="O84" s="80">
        <f t="shared" si="21"/>
        <v>3.1033065893903682E-2</v>
      </c>
      <c r="P84" s="61">
        <f t="shared" si="22"/>
        <v>312034666.20531565</v>
      </c>
      <c r="Q84" s="61">
        <f t="shared" si="23"/>
        <v>203271195.11544591</v>
      </c>
      <c r="R84" s="61">
        <f t="shared" si="24"/>
        <v>195788874.23138198</v>
      </c>
      <c r="S84" s="61">
        <v>8657277</v>
      </c>
      <c r="T84" s="61">
        <v>4406720</v>
      </c>
      <c r="U84" s="61">
        <v>1368729</v>
      </c>
      <c r="V84" s="61">
        <v>0</v>
      </c>
      <c r="W84" s="61">
        <v>1365751</v>
      </c>
      <c r="X84" s="61"/>
      <c r="Y84" s="61"/>
      <c r="Z84" s="61"/>
      <c r="AA84" s="61">
        <v>4250557</v>
      </c>
      <c r="AB84" s="61"/>
      <c r="AC84" s="61"/>
      <c r="AD84" s="61">
        <v>5639678</v>
      </c>
      <c r="AE84" s="61">
        <v>13903341</v>
      </c>
      <c r="AF84" s="61">
        <v>8471257</v>
      </c>
      <c r="AG84" s="61">
        <v>220645</v>
      </c>
      <c r="AH84" s="61">
        <v>211709</v>
      </c>
      <c r="AI84" s="61"/>
      <c r="AJ84" s="61"/>
      <c r="AK84" s="61"/>
      <c r="AL84" s="61">
        <v>8936</v>
      </c>
      <c r="AM84" s="61"/>
      <c r="AN84" s="61"/>
      <c r="AO84" s="61">
        <v>0</v>
      </c>
      <c r="AP84" s="61">
        <v>5726495</v>
      </c>
      <c r="AQ84" s="61">
        <v>2524117</v>
      </c>
      <c r="AR84" s="61">
        <v>5432084</v>
      </c>
      <c r="AS84" s="61">
        <v>3379919</v>
      </c>
      <c r="AT84" s="61">
        <v>2118500</v>
      </c>
      <c r="AU84" s="61">
        <v>1261419</v>
      </c>
      <c r="AV84" s="61">
        <v>2052165</v>
      </c>
      <c r="AW84" s="65">
        <v>0.86099999999999999</v>
      </c>
      <c r="AX84">
        <f t="shared" si="14"/>
        <v>8610</v>
      </c>
      <c r="AY84" s="78">
        <f t="shared" si="25"/>
        <v>8.6100000000000006E-5</v>
      </c>
    </row>
    <row r="85" spans="1:55" x14ac:dyDescent="0.25">
      <c r="A85" s="57"/>
      <c r="B85" s="58" t="s">
        <v>96</v>
      </c>
      <c r="C85" s="55"/>
      <c r="D85" s="59" t="s">
        <v>111</v>
      </c>
      <c r="E85" s="59">
        <v>1000</v>
      </c>
      <c r="F85" s="60">
        <v>1E-4</v>
      </c>
      <c r="G85" s="61">
        <v>-488013</v>
      </c>
      <c r="H85" s="61">
        <f t="shared" si="15"/>
        <v>-48801.3</v>
      </c>
      <c r="I85" s="146">
        <f t="shared" si="16"/>
        <v>8.9099999999999997E-5</v>
      </c>
      <c r="J85" s="61">
        <f t="shared" si="17"/>
        <v>-547713804.71380472</v>
      </c>
      <c r="K85" s="61">
        <f t="shared" si="18"/>
        <v>936925.9</v>
      </c>
      <c r="L85" s="61">
        <f t="shared" si="19"/>
        <v>582538.20000000007</v>
      </c>
      <c r="M85" s="61">
        <f t="shared" si="20"/>
        <v>582429.80000000005</v>
      </c>
      <c r="N85" s="83">
        <v>2.9005900000000002E-3</v>
      </c>
      <c r="O85" s="80">
        <f t="shared" si="21"/>
        <v>3.0717888429595355E-2</v>
      </c>
      <c r="P85" s="61">
        <f t="shared" si="22"/>
        <v>323012180.28056359</v>
      </c>
      <c r="Q85" s="61">
        <f t="shared" si="23"/>
        <v>200834381.97056463</v>
      </c>
      <c r="R85" s="61">
        <f t="shared" si="24"/>
        <v>200797010.26342916</v>
      </c>
      <c r="S85" s="61">
        <v>9369259</v>
      </c>
      <c r="T85" s="61">
        <v>4590102</v>
      </c>
      <c r="U85" s="61">
        <v>1358529</v>
      </c>
      <c r="V85" s="61">
        <v>0</v>
      </c>
      <c r="W85" s="61">
        <v>1357614</v>
      </c>
      <c r="X85" s="61"/>
      <c r="Y85" s="61"/>
      <c r="Z85" s="61"/>
      <c r="AA85" s="61">
        <v>4779157</v>
      </c>
      <c r="AB85" s="61"/>
      <c r="AC85" s="61"/>
      <c r="AD85" s="61">
        <v>5825382</v>
      </c>
      <c r="AE85" s="61">
        <v>14706628</v>
      </c>
      <c r="AF85" s="61">
        <v>8882330</v>
      </c>
      <c r="AG85" s="61">
        <v>498786</v>
      </c>
      <c r="AH85" s="61">
        <v>485193</v>
      </c>
      <c r="AI85" s="61"/>
      <c r="AJ85" s="61"/>
      <c r="AK85" s="61"/>
      <c r="AL85" s="61">
        <v>13593</v>
      </c>
      <c r="AM85" s="61"/>
      <c r="AN85" s="61"/>
      <c r="AO85" s="61">
        <v>0</v>
      </c>
      <c r="AP85" s="61">
        <v>5490674</v>
      </c>
      <c r="AQ85" s="61">
        <v>2892870</v>
      </c>
      <c r="AR85" s="61">
        <v>5824298</v>
      </c>
      <c r="AS85" s="61">
        <v>3744343</v>
      </c>
      <c r="AT85" s="61">
        <v>2377366</v>
      </c>
      <c r="AU85" s="61">
        <v>1366977</v>
      </c>
      <c r="AV85" s="61">
        <v>2079955</v>
      </c>
      <c r="AW85" s="65">
        <v>0.89100000000000001</v>
      </c>
      <c r="AX85">
        <f t="shared" si="14"/>
        <v>8910</v>
      </c>
      <c r="AY85" s="78">
        <f t="shared" si="25"/>
        <v>8.9099999999999997E-5</v>
      </c>
    </row>
    <row r="86" spans="1:55" x14ac:dyDescent="0.25">
      <c r="A86" s="57"/>
      <c r="B86" s="58" t="s">
        <v>97</v>
      </c>
      <c r="C86" s="55"/>
      <c r="D86" s="59" t="s">
        <v>111</v>
      </c>
      <c r="E86" s="59">
        <v>1000</v>
      </c>
      <c r="F86" s="60">
        <v>1E-4</v>
      </c>
      <c r="G86" s="61">
        <v>-408171</v>
      </c>
      <c r="H86" s="61">
        <f t="shared" si="15"/>
        <v>-40817.1</v>
      </c>
      <c r="I86" s="146">
        <f t="shared" si="16"/>
        <v>9.2100000000000003E-5</v>
      </c>
      <c r="J86" s="61">
        <f t="shared" si="17"/>
        <v>-443182410.42345273</v>
      </c>
      <c r="K86" s="61">
        <f t="shared" si="18"/>
        <v>958626.3</v>
      </c>
      <c r="L86" s="61">
        <f t="shared" si="19"/>
        <v>580691.20000000007</v>
      </c>
      <c r="M86" s="61">
        <f t="shared" si="20"/>
        <v>613068.5</v>
      </c>
      <c r="N86" s="83">
        <v>3.0969600000000002E-3</v>
      </c>
      <c r="O86" s="80">
        <f t="shared" si="21"/>
        <v>2.9738840669559827E-2</v>
      </c>
      <c r="P86" s="61">
        <f t="shared" si="22"/>
        <v>309537837.1047737</v>
      </c>
      <c r="Q86" s="61">
        <f t="shared" si="23"/>
        <v>187503616.4496797</v>
      </c>
      <c r="R86" s="61">
        <f t="shared" si="24"/>
        <v>197958158.96879518</v>
      </c>
      <c r="S86" s="61">
        <v>9586263</v>
      </c>
      <c r="T86" s="61">
        <v>4807106</v>
      </c>
      <c r="U86" s="61">
        <v>1358356</v>
      </c>
      <c r="V86" s="61">
        <v>0</v>
      </c>
      <c r="W86" s="61">
        <v>1357369</v>
      </c>
      <c r="X86" s="61"/>
      <c r="Y86" s="61"/>
      <c r="Z86" s="61"/>
      <c r="AA86" s="61">
        <v>4779157</v>
      </c>
      <c r="AB86" s="61"/>
      <c r="AC86" s="61"/>
      <c r="AD86" s="61">
        <v>5806912</v>
      </c>
      <c r="AE86" s="61">
        <v>14985004</v>
      </c>
      <c r="AF86" s="61">
        <v>8854319</v>
      </c>
      <c r="AG86" s="61">
        <v>109672</v>
      </c>
      <c r="AH86" s="61">
        <v>97979</v>
      </c>
      <c r="AI86" s="61"/>
      <c r="AJ86" s="61"/>
      <c r="AK86" s="61"/>
      <c r="AL86" s="61">
        <v>11693</v>
      </c>
      <c r="AM86" s="61"/>
      <c r="AN86" s="61"/>
      <c r="AO86" s="61">
        <v>0</v>
      </c>
      <c r="AP86" s="61">
        <v>5855718</v>
      </c>
      <c r="AQ86" s="61">
        <v>2888929</v>
      </c>
      <c r="AR86" s="61">
        <v>6130685</v>
      </c>
      <c r="AS86" s="61">
        <v>3969346</v>
      </c>
      <c r="AT86" s="61">
        <v>2555286</v>
      </c>
      <c r="AU86" s="61">
        <v>1414060</v>
      </c>
      <c r="AV86" s="61">
        <v>2161339</v>
      </c>
      <c r="AW86" s="65">
        <v>0.92100000000000004</v>
      </c>
      <c r="AX86">
        <f t="shared" si="14"/>
        <v>9210</v>
      </c>
      <c r="AY86" s="78">
        <f t="shared" si="25"/>
        <v>9.2100000000000003E-5</v>
      </c>
    </row>
    <row r="87" spans="1:55" x14ac:dyDescent="0.25">
      <c r="A87" s="57"/>
      <c r="B87" s="58" t="s">
        <v>98</v>
      </c>
      <c r="C87" s="55"/>
      <c r="D87" s="59" t="s">
        <v>111</v>
      </c>
      <c r="E87" s="59">
        <v>1000</v>
      </c>
      <c r="F87" s="60">
        <v>1E-4</v>
      </c>
      <c r="G87" s="61">
        <v>-333614</v>
      </c>
      <c r="H87" s="61">
        <f t="shared" si="15"/>
        <v>-33361.4</v>
      </c>
      <c r="I87" s="146">
        <f t="shared" si="16"/>
        <v>1.008E-4</v>
      </c>
      <c r="J87" s="61">
        <f t="shared" si="17"/>
        <v>-330966269.84126985</v>
      </c>
      <c r="K87" s="61">
        <f t="shared" si="18"/>
        <v>989168.10000000009</v>
      </c>
      <c r="L87" s="61">
        <f t="shared" si="19"/>
        <v>596567.1</v>
      </c>
      <c r="M87" s="61">
        <f t="shared" si="20"/>
        <v>658564.70000000007</v>
      </c>
      <c r="N87" s="83">
        <v>3.3688799999999999E-3</v>
      </c>
      <c r="O87" s="80">
        <f t="shared" si="21"/>
        <v>2.9920923274203891E-2</v>
      </c>
      <c r="P87" s="61">
        <f t="shared" si="22"/>
        <v>293619274.06140918</v>
      </c>
      <c r="Q87" s="61">
        <f t="shared" si="23"/>
        <v>177081730.42672935</v>
      </c>
      <c r="R87" s="61">
        <f t="shared" si="24"/>
        <v>195484760.51388001</v>
      </c>
      <c r="S87" s="61">
        <v>9891681</v>
      </c>
      <c r="T87" s="61">
        <v>5112524</v>
      </c>
      <c r="U87" s="61">
        <v>1357954</v>
      </c>
      <c r="V87" s="61">
        <v>0</v>
      </c>
      <c r="W87" s="61">
        <v>1357369</v>
      </c>
      <c r="X87" s="61"/>
      <c r="Y87" s="61"/>
      <c r="Z87" s="61"/>
      <c r="AA87" s="61">
        <v>4779157</v>
      </c>
      <c r="AB87" s="61"/>
      <c r="AC87" s="61"/>
      <c r="AD87" s="61">
        <v>5965671</v>
      </c>
      <c r="AE87" s="61">
        <v>15523738</v>
      </c>
      <c r="AF87" s="61">
        <v>8938091</v>
      </c>
      <c r="AG87" s="61">
        <v>41653</v>
      </c>
      <c r="AH87" s="61">
        <v>32731</v>
      </c>
      <c r="AI87" s="61"/>
      <c r="AJ87" s="61"/>
      <c r="AK87" s="61"/>
      <c r="AL87" s="61">
        <v>8922</v>
      </c>
      <c r="AM87" s="61"/>
      <c r="AN87" s="61"/>
      <c r="AO87" s="61">
        <v>0</v>
      </c>
      <c r="AP87" s="61">
        <v>5644514</v>
      </c>
      <c r="AQ87" s="61">
        <v>3251924</v>
      </c>
      <c r="AR87" s="61">
        <v>6585647</v>
      </c>
      <c r="AS87" s="61">
        <v>3998826</v>
      </c>
      <c r="AT87" s="61">
        <v>2619237</v>
      </c>
      <c r="AU87" s="61">
        <v>1379589</v>
      </c>
      <c r="AV87" s="61">
        <v>2586821</v>
      </c>
      <c r="AW87" s="65">
        <v>1.008</v>
      </c>
      <c r="AX87">
        <f t="shared" si="14"/>
        <v>10080</v>
      </c>
      <c r="AY87" s="78">
        <f t="shared" si="25"/>
        <v>1.008E-4</v>
      </c>
    </row>
    <row r="88" spans="1:55" x14ac:dyDescent="0.25">
      <c r="A88" s="57"/>
      <c r="B88" s="58" t="s">
        <v>99</v>
      </c>
      <c r="C88" s="55"/>
      <c r="D88" s="59" t="s">
        <v>111</v>
      </c>
      <c r="E88" s="59">
        <v>1000</v>
      </c>
      <c r="F88" s="60">
        <v>1E-4</v>
      </c>
      <c r="G88" s="61">
        <v>-358427</v>
      </c>
      <c r="H88" s="61">
        <f t="shared" si="15"/>
        <v>-35842.700000000004</v>
      </c>
      <c r="I88" s="146">
        <f t="shared" si="16"/>
        <v>1.07E-4</v>
      </c>
      <c r="J88" s="61">
        <f t="shared" si="17"/>
        <v>-334978504.67289722</v>
      </c>
      <c r="K88" s="61">
        <f t="shared" si="18"/>
        <v>1023018.4</v>
      </c>
      <c r="L88" s="61">
        <f t="shared" si="19"/>
        <v>630871.6</v>
      </c>
      <c r="M88" s="61">
        <f t="shared" si="20"/>
        <v>628209.1</v>
      </c>
      <c r="N88" s="83">
        <v>3.61239E-3</v>
      </c>
      <c r="O88" s="80">
        <f t="shared" si="21"/>
        <v>2.9620279095003584E-2</v>
      </c>
      <c r="P88" s="61">
        <f t="shared" si="22"/>
        <v>283197107.73200017</v>
      </c>
      <c r="Q88" s="61">
        <f t="shared" si="23"/>
        <v>174641054.81412581</v>
      </c>
      <c r="R88" s="61">
        <f t="shared" si="24"/>
        <v>173904008.14972913</v>
      </c>
      <c r="S88" s="61">
        <v>10230184</v>
      </c>
      <c r="T88" s="61">
        <v>5451027</v>
      </c>
      <c r="U88" s="61">
        <v>1358263</v>
      </c>
      <c r="V88" s="61">
        <v>0</v>
      </c>
      <c r="W88" s="61">
        <v>1357367</v>
      </c>
      <c r="X88" s="61"/>
      <c r="Y88" s="61"/>
      <c r="Z88" s="61"/>
      <c r="AA88" s="61">
        <v>4779157</v>
      </c>
      <c r="AB88" s="61"/>
      <c r="AC88" s="61"/>
      <c r="AD88" s="61">
        <v>6308716</v>
      </c>
      <c r="AE88" s="61">
        <v>16180473</v>
      </c>
      <c r="AF88" s="61">
        <v>9898382</v>
      </c>
      <c r="AG88" s="61">
        <v>165371</v>
      </c>
      <c r="AH88" s="61">
        <v>147888</v>
      </c>
      <c r="AI88" s="61"/>
      <c r="AJ88" s="61"/>
      <c r="AK88" s="61"/>
      <c r="AL88" s="61">
        <v>17483</v>
      </c>
      <c r="AM88" s="61"/>
      <c r="AN88" s="61"/>
      <c r="AO88" s="61">
        <v>0</v>
      </c>
      <c r="AP88" s="61">
        <v>5862635</v>
      </c>
      <c r="AQ88" s="61">
        <v>3870376</v>
      </c>
      <c r="AR88" s="61">
        <v>6282091</v>
      </c>
      <c r="AS88" s="61">
        <v>4028381</v>
      </c>
      <c r="AT88" s="61">
        <v>2521783</v>
      </c>
      <c r="AU88" s="61">
        <v>1506598</v>
      </c>
      <c r="AV88" s="61">
        <v>2253710</v>
      </c>
      <c r="AW88" s="65">
        <v>1.07</v>
      </c>
      <c r="AX88">
        <f t="shared" si="14"/>
        <v>10700</v>
      </c>
      <c r="AY88" s="78">
        <f t="shared" si="25"/>
        <v>1.07E-4</v>
      </c>
    </row>
    <row r="89" spans="1:55" x14ac:dyDescent="0.25">
      <c r="A89" s="57"/>
      <c r="B89" s="58" t="s">
        <v>100</v>
      </c>
      <c r="C89" s="55"/>
      <c r="D89" s="59" t="s">
        <v>111</v>
      </c>
      <c r="E89" s="59">
        <v>1000</v>
      </c>
      <c r="F89" s="60">
        <v>1E-4</v>
      </c>
      <c r="G89" s="61">
        <v>-444848</v>
      </c>
      <c r="H89" s="61">
        <f t="shared" si="15"/>
        <v>-44484.800000000003</v>
      </c>
      <c r="I89" s="146">
        <f t="shared" si="16"/>
        <v>1.131E-4</v>
      </c>
      <c r="J89" s="61">
        <f t="shared" si="17"/>
        <v>-393322723.25375777</v>
      </c>
      <c r="K89" s="61">
        <f t="shared" si="18"/>
        <v>1059297</v>
      </c>
      <c r="L89" s="61">
        <f t="shared" si="19"/>
        <v>684121.1</v>
      </c>
      <c r="M89" s="61">
        <f t="shared" si="20"/>
        <v>599937</v>
      </c>
      <c r="N89" s="83">
        <v>3.8312400000000001E-3</v>
      </c>
      <c r="O89" s="80">
        <f t="shared" si="21"/>
        <v>2.9520468568922854E-2</v>
      </c>
      <c r="P89" s="61">
        <f t="shared" si="22"/>
        <v>276489335.0455727</v>
      </c>
      <c r="Q89" s="61">
        <f t="shared" si="23"/>
        <v>178563885.32172349</v>
      </c>
      <c r="R89" s="61">
        <f t="shared" si="24"/>
        <v>156590816.55025527</v>
      </c>
      <c r="S89" s="61">
        <v>10592970</v>
      </c>
      <c r="T89" s="61">
        <v>5813813</v>
      </c>
      <c r="U89" s="61">
        <v>1358575</v>
      </c>
      <c r="V89" s="61">
        <v>0</v>
      </c>
      <c r="W89" s="61">
        <v>1357367</v>
      </c>
      <c r="X89" s="61"/>
      <c r="Y89" s="61"/>
      <c r="Z89" s="61"/>
      <c r="AA89" s="61">
        <v>4779157</v>
      </c>
      <c r="AB89" s="61"/>
      <c r="AC89" s="61"/>
      <c r="AD89" s="61">
        <v>6841211</v>
      </c>
      <c r="AE89" s="61">
        <v>16989333</v>
      </c>
      <c r="AF89" s="61">
        <v>10989963</v>
      </c>
      <c r="AG89" s="61">
        <v>37459</v>
      </c>
      <c r="AH89" s="61">
        <v>21319</v>
      </c>
      <c r="AI89" s="61"/>
      <c r="AJ89" s="61"/>
      <c r="AK89" s="61"/>
      <c r="AL89" s="61">
        <v>16140</v>
      </c>
      <c r="AM89" s="61"/>
      <c r="AN89" s="61"/>
      <c r="AO89" s="61">
        <v>0</v>
      </c>
      <c r="AP89" s="61">
        <v>7293295</v>
      </c>
      <c r="AQ89" s="61">
        <v>3659209</v>
      </c>
      <c r="AR89" s="61">
        <v>5999370</v>
      </c>
      <c r="AS89" s="61">
        <v>3786710</v>
      </c>
      <c r="AT89" s="61">
        <v>2795323</v>
      </c>
      <c r="AU89" s="61">
        <v>991387</v>
      </c>
      <c r="AV89" s="61">
        <v>2212660</v>
      </c>
      <c r="AW89" s="65">
        <v>1.131</v>
      </c>
      <c r="AX89">
        <f t="shared" si="14"/>
        <v>11310</v>
      </c>
      <c r="AY89" s="78">
        <f t="shared" si="25"/>
        <v>1.131E-4</v>
      </c>
    </row>
    <row r="90" spans="1:55" x14ac:dyDescent="0.25">
      <c r="A90" s="57"/>
      <c r="B90" s="58" t="s">
        <v>101</v>
      </c>
      <c r="C90" s="55"/>
      <c r="D90" s="59" t="s">
        <v>111</v>
      </c>
      <c r="E90" s="59">
        <v>1000</v>
      </c>
      <c r="F90" s="60">
        <v>1E-4</v>
      </c>
      <c r="G90" s="61">
        <v>-821703</v>
      </c>
      <c r="H90" s="61">
        <f t="shared" si="15"/>
        <v>-82170.3</v>
      </c>
      <c r="I90" s="146">
        <f t="shared" si="16"/>
        <v>1.181E-4</v>
      </c>
      <c r="J90" s="61">
        <f t="shared" si="17"/>
        <v>-695768839.9661305</v>
      </c>
      <c r="K90" s="61">
        <f t="shared" si="18"/>
        <v>1164429.3</v>
      </c>
      <c r="L90" s="61">
        <f t="shared" si="19"/>
        <v>735878.70000000007</v>
      </c>
      <c r="M90" s="61">
        <f t="shared" si="20"/>
        <v>644191.20000000007</v>
      </c>
      <c r="N90" s="83">
        <v>4.0341600000000002E-3</v>
      </c>
      <c r="O90" s="80">
        <f t="shared" si="21"/>
        <v>2.9274991571975328E-2</v>
      </c>
      <c r="P90" s="61">
        <f t="shared" si="22"/>
        <v>288642319.59069544</v>
      </c>
      <c r="Q90" s="61">
        <f t="shared" si="23"/>
        <v>182411877.56558987</v>
      </c>
      <c r="R90" s="61">
        <f t="shared" si="24"/>
        <v>159684097.80474746</v>
      </c>
      <c r="S90" s="61">
        <v>11644293</v>
      </c>
      <c r="T90" s="61">
        <v>6305136</v>
      </c>
      <c r="U90" s="61">
        <v>1358508</v>
      </c>
      <c r="V90" s="61">
        <v>0</v>
      </c>
      <c r="W90" s="61">
        <v>1357033</v>
      </c>
      <c r="X90" s="61"/>
      <c r="Y90" s="61"/>
      <c r="Z90" s="61"/>
      <c r="AA90" s="61">
        <v>5339157</v>
      </c>
      <c r="AB90" s="61"/>
      <c r="AC90" s="61"/>
      <c r="AD90" s="61">
        <v>7358787</v>
      </c>
      <c r="AE90" s="61">
        <v>18181377</v>
      </c>
      <c r="AF90" s="61">
        <v>11739465</v>
      </c>
      <c r="AG90" s="61">
        <v>131217</v>
      </c>
      <c r="AH90" s="61">
        <v>113957</v>
      </c>
      <c r="AI90" s="61"/>
      <c r="AJ90" s="61"/>
      <c r="AK90" s="61"/>
      <c r="AL90" s="61">
        <v>17260</v>
      </c>
      <c r="AM90" s="61"/>
      <c r="AN90" s="61"/>
      <c r="AO90" s="61">
        <v>0</v>
      </c>
      <c r="AP90" s="61">
        <v>7594147</v>
      </c>
      <c r="AQ90" s="61">
        <v>4014101</v>
      </c>
      <c r="AR90" s="61">
        <v>6441912</v>
      </c>
      <c r="AS90" s="61">
        <v>3961810</v>
      </c>
      <c r="AT90" s="61">
        <v>2939128</v>
      </c>
      <c r="AU90" s="61">
        <v>1022682</v>
      </c>
      <c r="AV90" s="61">
        <v>2480102</v>
      </c>
      <c r="AW90" s="65">
        <v>1.181</v>
      </c>
      <c r="AX90">
        <f t="shared" si="14"/>
        <v>11810</v>
      </c>
      <c r="AY90" s="78">
        <f t="shared" si="25"/>
        <v>1.181E-4</v>
      </c>
    </row>
    <row r="91" spans="1:55" x14ac:dyDescent="0.25">
      <c r="A91" s="57"/>
      <c r="B91" s="58" t="s">
        <v>102</v>
      </c>
      <c r="C91" s="55"/>
      <c r="D91" s="59" t="s">
        <v>111</v>
      </c>
      <c r="E91" s="59">
        <v>1000</v>
      </c>
      <c r="F91" s="60">
        <v>1E-4</v>
      </c>
      <c r="G91" s="61">
        <v>-1175821</v>
      </c>
      <c r="H91" s="61">
        <f t="shared" si="15"/>
        <v>-117582.1</v>
      </c>
      <c r="I91" s="146">
        <f t="shared" si="16"/>
        <v>1.2589999999999997E-4</v>
      </c>
      <c r="J91" s="61">
        <f t="shared" si="17"/>
        <v>-933932486.10007966</v>
      </c>
      <c r="K91" s="61">
        <f t="shared" si="18"/>
        <v>1247289.9000000001</v>
      </c>
      <c r="L91" s="61">
        <f t="shared" si="19"/>
        <v>826685.20000000007</v>
      </c>
      <c r="M91" s="61">
        <f t="shared" si="20"/>
        <v>694300.6</v>
      </c>
      <c r="N91" s="83">
        <v>4.22523E-3</v>
      </c>
      <c r="O91" s="80">
        <f t="shared" si="21"/>
        <v>2.9797194472253576E-2</v>
      </c>
      <c r="P91" s="61">
        <f t="shared" si="22"/>
        <v>295200474.29370713</v>
      </c>
      <c r="Q91" s="61">
        <f t="shared" si="23"/>
        <v>195654485.08128554</v>
      </c>
      <c r="R91" s="61">
        <f t="shared" si="24"/>
        <v>164322557.58858097</v>
      </c>
      <c r="S91" s="61">
        <v>12472899</v>
      </c>
      <c r="T91" s="61">
        <v>6801463</v>
      </c>
      <c r="U91" s="61">
        <v>1357155</v>
      </c>
      <c r="V91" s="61">
        <v>0</v>
      </c>
      <c r="W91" s="61">
        <v>1356552</v>
      </c>
      <c r="X91" s="61"/>
      <c r="Y91" s="61"/>
      <c r="Z91" s="61"/>
      <c r="AA91" s="61">
        <v>5671436</v>
      </c>
      <c r="AB91" s="61"/>
      <c r="AC91" s="61"/>
      <c r="AD91" s="61">
        <v>8266852</v>
      </c>
      <c r="AE91" s="61">
        <v>19563930</v>
      </c>
      <c r="AF91" s="61">
        <v>12620924</v>
      </c>
      <c r="AG91" s="61">
        <v>110275</v>
      </c>
      <c r="AH91" s="61">
        <v>100402</v>
      </c>
      <c r="AI91" s="61"/>
      <c r="AJ91" s="61"/>
      <c r="AK91" s="61"/>
      <c r="AL91" s="61">
        <v>9873</v>
      </c>
      <c r="AM91" s="61"/>
      <c r="AN91" s="61"/>
      <c r="AO91" s="61">
        <v>0</v>
      </c>
      <c r="AP91" s="61">
        <v>7964718</v>
      </c>
      <c r="AQ91" s="61">
        <v>4545931</v>
      </c>
      <c r="AR91" s="61">
        <v>6943006</v>
      </c>
      <c r="AS91" s="61">
        <v>5246017</v>
      </c>
      <c r="AT91" s="61">
        <v>3979407</v>
      </c>
      <c r="AU91" s="61">
        <v>1266610</v>
      </c>
      <c r="AV91" s="61">
        <v>1696989</v>
      </c>
      <c r="AW91" s="65">
        <v>1.2589999999999999</v>
      </c>
      <c r="AX91">
        <f t="shared" si="14"/>
        <v>12589.999999999998</v>
      </c>
      <c r="AY91" s="78">
        <f t="shared" si="25"/>
        <v>1.2589999999999997E-4</v>
      </c>
      <c r="BA91" s="68">
        <v>1986</v>
      </c>
      <c r="BB91" s="72">
        <v>1.0849999999999999E-4</v>
      </c>
      <c r="BC91">
        <f>+BB91*100000000</f>
        <v>10850</v>
      </c>
    </row>
    <row r="92" spans="1:55" x14ac:dyDescent="0.25">
      <c r="A92" s="62">
        <v>1987.01</v>
      </c>
      <c r="B92" s="58" t="s">
        <v>103</v>
      </c>
      <c r="C92" s="55"/>
      <c r="D92" s="59" t="s">
        <v>111</v>
      </c>
      <c r="E92" s="59">
        <v>1000</v>
      </c>
      <c r="F92" s="60">
        <v>1E-4</v>
      </c>
      <c r="G92" s="61">
        <v>-1101317</v>
      </c>
      <c r="H92" s="61">
        <f t="shared" si="15"/>
        <v>-110131.70000000001</v>
      </c>
      <c r="I92" s="146">
        <f t="shared" si="16"/>
        <v>1.3320000000000001E-4</v>
      </c>
      <c r="J92" s="61">
        <f t="shared" si="17"/>
        <v>-826814564.56456459</v>
      </c>
      <c r="K92" s="61">
        <f t="shared" si="18"/>
        <v>1341900.4000000001</v>
      </c>
      <c r="L92" s="61">
        <f t="shared" si="19"/>
        <v>1348998.1</v>
      </c>
      <c r="M92" s="61">
        <f t="shared" si="20"/>
        <v>736172.70000000007</v>
      </c>
      <c r="N92" s="84">
        <v>4.5455000000000001E-3</v>
      </c>
      <c r="O92" s="80">
        <f t="shared" si="21"/>
        <v>2.9303706962930373E-2</v>
      </c>
      <c r="P92" s="61">
        <f t="shared" si="22"/>
        <v>295215135.84864151</v>
      </c>
      <c r="Q92" s="61">
        <f t="shared" si="23"/>
        <v>296776614.23385769</v>
      </c>
      <c r="R92" s="61">
        <f t="shared" si="24"/>
        <v>161956374.43625566</v>
      </c>
      <c r="S92" s="61">
        <v>13419004</v>
      </c>
      <c r="T92" s="61">
        <v>7374219</v>
      </c>
      <c r="U92" s="61">
        <v>1357902</v>
      </c>
      <c r="V92" s="61">
        <v>0</v>
      </c>
      <c r="W92" s="61">
        <v>1357208</v>
      </c>
      <c r="X92" s="61"/>
      <c r="Y92" s="61"/>
      <c r="Z92" s="61"/>
      <c r="AA92" s="61">
        <v>6044785</v>
      </c>
      <c r="AB92" s="61"/>
      <c r="AC92" s="61"/>
      <c r="AD92" s="61">
        <v>13489981</v>
      </c>
      <c r="AE92" s="61">
        <v>25807668</v>
      </c>
      <c r="AF92" s="61">
        <v>18445941</v>
      </c>
      <c r="AG92" s="61">
        <v>289655</v>
      </c>
      <c r="AH92" s="61">
        <v>221276</v>
      </c>
      <c r="AI92" s="61"/>
      <c r="AJ92" s="61"/>
      <c r="AK92" s="61"/>
      <c r="AL92" s="61">
        <v>68379</v>
      </c>
      <c r="AM92" s="61"/>
      <c r="AN92" s="61"/>
      <c r="AO92" s="61">
        <v>0</v>
      </c>
      <c r="AP92" s="61">
        <v>8127197</v>
      </c>
      <c r="AQ92" s="61">
        <v>10029089</v>
      </c>
      <c r="AR92" s="61">
        <v>7361727</v>
      </c>
      <c r="AS92" s="61">
        <v>4890474</v>
      </c>
      <c r="AT92" s="61">
        <v>3764498</v>
      </c>
      <c r="AU92" s="61">
        <v>1125976</v>
      </c>
      <c r="AV92" s="61">
        <v>2471253</v>
      </c>
      <c r="AW92" s="65">
        <v>1.3320000000000001</v>
      </c>
      <c r="AX92">
        <f t="shared" si="14"/>
        <v>13320</v>
      </c>
      <c r="AY92" s="78">
        <f t="shared" si="25"/>
        <v>1.3320000000000001E-4</v>
      </c>
    </row>
    <row r="93" spans="1:55" x14ac:dyDescent="0.25">
      <c r="A93" s="57"/>
      <c r="B93" s="58" t="s">
        <v>104</v>
      </c>
      <c r="C93" s="55"/>
      <c r="D93" s="59" t="s">
        <v>111</v>
      </c>
      <c r="E93" s="59">
        <v>1000</v>
      </c>
      <c r="F93" s="60">
        <v>1E-4</v>
      </c>
      <c r="G93" s="61">
        <v>-1378285</v>
      </c>
      <c r="H93" s="61">
        <f t="shared" si="15"/>
        <v>-137828.5</v>
      </c>
      <c r="I93" s="146">
        <f t="shared" si="16"/>
        <v>1.5410000000000001E-4</v>
      </c>
      <c r="J93" s="61">
        <f t="shared" si="17"/>
        <v>-894409474.36729395</v>
      </c>
      <c r="K93" s="61">
        <f t="shared" si="18"/>
        <v>1432939.7</v>
      </c>
      <c r="L93" s="61">
        <f t="shared" si="19"/>
        <v>1401943.6</v>
      </c>
      <c r="M93" s="61">
        <f t="shared" si="20"/>
        <v>694341.5</v>
      </c>
      <c r="N93" s="84">
        <v>4.8390000000000004E-3</v>
      </c>
      <c r="O93" s="80">
        <f t="shared" si="21"/>
        <v>3.1845422607976855E-2</v>
      </c>
      <c r="P93" s="61">
        <f t="shared" si="22"/>
        <v>296123103.94709647</v>
      </c>
      <c r="Q93" s="61">
        <f t="shared" si="23"/>
        <v>289717627.6090101</v>
      </c>
      <c r="R93" s="61">
        <f t="shared" si="24"/>
        <v>143488634.01529241</v>
      </c>
      <c r="S93" s="61">
        <v>14329397</v>
      </c>
      <c r="T93" s="61">
        <v>7869299</v>
      </c>
      <c r="U93" s="61">
        <v>1354797</v>
      </c>
      <c r="V93" s="61">
        <v>0</v>
      </c>
      <c r="W93" s="61">
        <v>1354204</v>
      </c>
      <c r="X93" s="61"/>
      <c r="Y93" s="61"/>
      <c r="Z93" s="61"/>
      <c r="AA93" s="61">
        <v>6460098</v>
      </c>
      <c r="AB93" s="61"/>
      <c r="AC93" s="61"/>
      <c r="AD93" s="61">
        <v>14019436</v>
      </c>
      <c r="AE93" s="61">
        <v>26970548</v>
      </c>
      <c r="AF93" s="61">
        <v>20027133</v>
      </c>
      <c r="AG93" s="61">
        <v>210874</v>
      </c>
      <c r="AH93" s="61">
        <v>124793</v>
      </c>
      <c r="AI93" s="61"/>
      <c r="AJ93" s="61"/>
      <c r="AK93" s="61"/>
      <c r="AL93" s="61">
        <v>86081</v>
      </c>
      <c r="AM93" s="61"/>
      <c r="AN93" s="61"/>
      <c r="AO93" s="61">
        <v>0</v>
      </c>
      <c r="AP93" s="61">
        <v>9018742</v>
      </c>
      <c r="AQ93" s="61">
        <v>10797517</v>
      </c>
      <c r="AR93" s="61">
        <v>6943415</v>
      </c>
      <c r="AS93" s="61">
        <v>5056067</v>
      </c>
      <c r="AT93" s="61">
        <v>3614142</v>
      </c>
      <c r="AU93" s="61">
        <v>1441925</v>
      </c>
      <c r="AV93" s="61">
        <v>1887348</v>
      </c>
      <c r="AW93" s="65">
        <v>1.5409999999999999</v>
      </c>
      <c r="AX93">
        <f t="shared" si="14"/>
        <v>15410</v>
      </c>
      <c r="AY93" s="78">
        <f t="shared" si="25"/>
        <v>1.5410000000000001E-4</v>
      </c>
    </row>
    <row r="94" spans="1:55" x14ac:dyDescent="0.25">
      <c r="A94" s="57"/>
      <c r="B94" s="58" t="s">
        <v>105</v>
      </c>
      <c r="C94" s="55"/>
      <c r="D94" s="59" t="s">
        <v>111</v>
      </c>
      <c r="E94" s="59">
        <v>1000</v>
      </c>
      <c r="F94" s="60">
        <v>1E-4</v>
      </c>
      <c r="G94" s="61">
        <v>-1362620</v>
      </c>
      <c r="H94" s="61">
        <f t="shared" si="15"/>
        <v>-136262</v>
      </c>
      <c r="I94" s="146">
        <f t="shared" si="16"/>
        <v>1.5410000000000001E-4</v>
      </c>
      <c r="J94" s="61">
        <f t="shared" si="17"/>
        <v>-884243997.40428293</v>
      </c>
      <c r="K94" s="61">
        <f t="shared" si="18"/>
        <v>1517897.3</v>
      </c>
      <c r="L94" s="61">
        <f t="shared" si="19"/>
        <v>1449136.8</v>
      </c>
      <c r="M94" s="61">
        <f t="shared" si="20"/>
        <v>719372.80000000005</v>
      </c>
      <c r="N94" s="84">
        <v>5.2386000000000004E-3</v>
      </c>
      <c r="O94" s="80">
        <f t="shared" si="21"/>
        <v>2.9416256251670294E-2</v>
      </c>
      <c r="P94" s="61">
        <f t="shared" si="22"/>
        <v>289752472.034513</v>
      </c>
      <c r="Q94" s="61">
        <f t="shared" si="23"/>
        <v>276626732.33306605</v>
      </c>
      <c r="R94" s="61">
        <f t="shared" si="24"/>
        <v>137321574.4664605</v>
      </c>
      <c r="S94" s="61">
        <v>15178973</v>
      </c>
      <c r="T94" s="61">
        <v>8256575</v>
      </c>
      <c r="U94" s="61">
        <v>1355108</v>
      </c>
      <c r="V94" s="61">
        <v>0</v>
      </c>
      <c r="W94" s="61">
        <v>1354204</v>
      </c>
      <c r="X94" s="61"/>
      <c r="Y94" s="61"/>
      <c r="Z94" s="61"/>
      <c r="AA94" s="61">
        <v>6922398</v>
      </c>
      <c r="AB94" s="61"/>
      <c r="AC94" s="61"/>
      <c r="AD94" s="61">
        <v>14491368</v>
      </c>
      <c r="AE94" s="61">
        <v>28307721</v>
      </c>
      <c r="AF94" s="61">
        <v>21113993</v>
      </c>
      <c r="AG94" s="61">
        <v>310330</v>
      </c>
      <c r="AH94" s="61">
        <v>239838</v>
      </c>
      <c r="AI94" s="61"/>
      <c r="AJ94" s="61"/>
      <c r="AK94" s="61"/>
      <c r="AL94" s="61">
        <v>70492</v>
      </c>
      <c r="AM94" s="61"/>
      <c r="AN94" s="61"/>
      <c r="AO94" s="61">
        <v>0</v>
      </c>
      <c r="AP94" s="61">
        <v>9854370</v>
      </c>
      <c r="AQ94" s="61">
        <v>10949293</v>
      </c>
      <c r="AR94" s="61">
        <v>7193728</v>
      </c>
      <c r="AS94" s="61">
        <v>5386465</v>
      </c>
      <c r="AT94" s="61">
        <v>3937746</v>
      </c>
      <c r="AU94" s="61">
        <v>1448719</v>
      </c>
      <c r="AV94" s="61">
        <v>1807263</v>
      </c>
      <c r="AW94" s="65">
        <v>1.5409999999999999</v>
      </c>
      <c r="AX94">
        <f t="shared" si="14"/>
        <v>15410</v>
      </c>
      <c r="AY94" s="78">
        <f t="shared" si="25"/>
        <v>1.5410000000000001E-4</v>
      </c>
    </row>
    <row r="95" spans="1:55" x14ac:dyDescent="0.25">
      <c r="A95" s="57"/>
      <c r="B95" s="58" t="s">
        <v>106</v>
      </c>
      <c r="C95" s="55"/>
      <c r="D95" s="59" t="s">
        <v>111</v>
      </c>
      <c r="E95" s="59">
        <v>1000</v>
      </c>
      <c r="F95" s="60">
        <v>1E-4</v>
      </c>
      <c r="G95" s="61">
        <v>-1859836</v>
      </c>
      <c r="H95" s="61">
        <f t="shared" si="15"/>
        <v>-185983.6</v>
      </c>
      <c r="I95" s="146">
        <f t="shared" si="16"/>
        <v>1.5410000000000001E-4</v>
      </c>
      <c r="J95" s="61">
        <f t="shared" si="17"/>
        <v>-1206902011.6807268</v>
      </c>
      <c r="K95" s="61">
        <f t="shared" si="18"/>
        <v>1643308.3</v>
      </c>
      <c r="L95" s="61">
        <f t="shared" si="19"/>
        <v>1528097.1</v>
      </c>
      <c r="M95" s="61">
        <f t="shared" si="20"/>
        <v>739254.4</v>
      </c>
      <c r="N95" s="84">
        <v>5.4133999999999996E-3</v>
      </c>
      <c r="O95" s="80">
        <f t="shared" si="21"/>
        <v>2.8466398197066541E-2</v>
      </c>
      <c r="P95" s="61">
        <f t="shared" si="22"/>
        <v>303563065.72579157</v>
      </c>
      <c r="Q95" s="61">
        <f t="shared" si="23"/>
        <v>282280470.68385863</v>
      </c>
      <c r="R95" s="61">
        <f t="shared" si="24"/>
        <v>136560091.6244874</v>
      </c>
      <c r="S95" s="61">
        <v>16433083</v>
      </c>
      <c r="T95" s="61">
        <v>8740185</v>
      </c>
      <c r="U95" s="61">
        <v>1355419</v>
      </c>
      <c r="V95" s="61">
        <v>0</v>
      </c>
      <c r="W95" s="61">
        <v>1354204</v>
      </c>
      <c r="X95" s="61"/>
      <c r="Y95" s="61"/>
      <c r="Z95" s="61"/>
      <c r="AA95" s="61">
        <v>7692898</v>
      </c>
      <c r="AB95" s="61"/>
      <c r="AC95" s="61"/>
      <c r="AD95" s="61">
        <v>15280971</v>
      </c>
      <c r="AE95" s="61">
        <v>29854218</v>
      </c>
      <c r="AF95" s="61">
        <v>22461674</v>
      </c>
      <c r="AG95" s="61">
        <v>630290</v>
      </c>
      <c r="AH95" s="61">
        <v>556144</v>
      </c>
      <c r="AI95" s="61"/>
      <c r="AJ95" s="61"/>
      <c r="AK95" s="61"/>
      <c r="AL95" s="61">
        <v>74146</v>
      </c>
      <c r="AM95" s="61"/>
      <c r="AN95" s="61"/>
      <c r="AO95" s="61">
        <v>0</v>
      </c>
      <c r="AP95" s="61">
        <v>10241407</v>
      </c>
      <c r="AQ95" s="61">
        <v>11589977</v>
      </c>
      <c r="AR95" s="61">
        <v>7392544</v>
      </c>
      <c r="AS95" s="61">
        <v>5665084</v>
      </c>
      <c r="AT95" s="61">
        <v>4317007</v>
      </c>
      <c r="AU95" s="61">
        <v>1348077</v>
      </c>
      <c r="AV95" s="61">
        <v>1727460</v>
      </c>
      <c r="AW95" s="65">
        <v>1.5409999999999999</v>
      </c>
      <c r="AX95">
        <f t="shared" si="14"/>
        <v>15410</v>
      </c>
      <c r="AY95" s="78">
        <f t="shared" si="25"/>
        <v>1.5410000000000001E-4</v>
      </c>
    </row>
    <row r="96" spans="1:55" x14ac:dyDescent="0.25">
      <c r="A96" s="57"/>
      <c r="B96" s="58" t="s">
        <v>107</v>
      </c>
      <c r="C96" s="55"/>
      <c r="D96" s="59" t="s">
        <v>111</v>
      </c>
      <c r="E96" s="59">
        <v>1000</v>
      </c>
      <c r="F96" s="60">
        <v>1E-4</v>
      </c>
      <c r="G96" s="61">
        <v>-1635993</v>
      </c>
      <c r="H96" s="61">
        <f t="shared" si="15"/>
        <v>-163599.30000000002</v>
      </c>
      <c r="I96" s="146">
        <f t="shared" si="16"/>
        <v>1.6220000000000001E-4</v>
      </c>
      <c r="J96" s="61">
        <f t="shared" si="17"/>
        <v>-1008627003.6991369</v>
      </c>
      <c r="K96" s="61">
        <f t="shared" si="18"/>
        <v>1708095.4000000001</v>
      </c>
      <c r="L96" s="61">
        <f t="shared" si="19"/>
        <v>1579845.4000000001</v>
      </c>
      <c r="M96" s="61">
        <f t="shared" si="20"/>
        <v>814731.3</v>
      </c>
      <c r="N96" s="84">
        <v>5.6382000000000003E-3</v>
      </c>
      <c r="O96" s="80">
        <f t="shared" si="21"/>
        <v>2.8768046539675785E-2</v>
      </c>
      <c r="P96" s="61">
        <f t="shared" si="22"/>
        <v>302950480.64985281</v>
      </c>
      <c r="Q96" s="61">
        <f t="shared" si="23"/>
        <v>280203859.38774788</v>
      </c>
      <c r="R96" s="61">
        <f t="shared" si="24"/>
        <v>144502021.92188996</v>
      </c>
      <c r="S96" s="61">
        <v>17080954</v>
      </c>
      <c r="T96" s="61">
        <v>9388056</v>
      </c>
      <c r="U96" s="61">
        <v>1355684</v>
      </c>
      <c r="V96" s="61">
        <v>0</v>
      </c>
      <c r="W96" s="61">
        <v>1354204</v>
      </c>
      <c r="X96" s="61"/>
      <c r="Y96" s="61"/>
      <c r="Z96" s="61"/>
      <c r="AA96" s="61">
        <v>7692898</v>
      </c>
      <c r="AB96" s="61"/>
      <c r="AC96" s="61"/>
      <c r="AD96" s="61">
        <v>15798454</v>
      </c>
      <c r="AE96" s="61">
        <v>31243415</v>
      </c>
      <c r="AF96" s="61">
        <v>23096102</v>
      </c>
      <c r="AG96" s="61">
        <v>392616</v>
      </c>
      <c r="AH96" s="61">
        <v>302723</v>
      </c>
      <c r="AI96" s="61"/>
      <c r="AJ96" s="61"/>
      <c r="AK96" s="61"/>
      <c r="AL96" s="61">
        <v>89893</v>
      </c>
      <c r="AM96" s="61"/>
      <c r="AN96" s="61"/>
      <c r="AO96" s="61">
        <v>0</v>
      </c>
      <c r="AP96" s="61">
        <v>10610892</v>
      </c>
      <c r="AQ96" s="61">
        <v>12092594</v>
      </c>
      <c r="AR96" s="61">
        <v>8147313</v>
      </c>
      <c r="AS96" s="61">
        <v>5722787</v>
      </c>
      <c r="AT96" s="61">
        <v>4385658</v>
      </c>
      <c r="AU96" s="61">
        <v>1337129</v>
      </c>
      <c r="AV96" s="61">
        <v>2424526</v>
      </c>
      <c r="AW96" s="65">
        <v>1.6220000000000001</v>
      </c>
      <c r="AX96">
        <f t="shared" si="14"/>
        <v>16220.000000000002</v>
      </c>
      <c r="AY96" s="78">
        <f t="shared" si="25"/>
        <v>1.6220000000000001E-4</v>
      </c>
    </row>
    <row r="97" spans="1:55" x14ac:dyDescent="0.25">
      <c r="A97" s="57"/>
      <c r="B97" s="58" t="s">
        <v>96</v>
      </c>
      <c r="C97" s="55"/>
      <c r="D97" s="59" t="s">
        <v>111</v>
      </c>
      <c r="E97" s="59">
        <v>1000</v>
      </c>
      <c r="F97" s="60">
        <v>1E-4</v>
      </c>
      <c r="G97" s="61">
        <v>-2246569</v>
      </c>
      <c r="H97" s="61">
        <f t="shared" si="15"/>
        <v>-224656.90000000002</v>
      </c>
      <c r="I97" s="146">
        <f t="shared" si="16"/>
        <v>1.8019999999999999E-4</v>
      </c>
      <c r="J97" s="61">
        <f t="shared" si="17"/>
        <v>-1246708657.047725</v>
      </c>
      <c r="K97" s="61">
        <f t="shared" si="18"/>
        <v>1832802.9000000001</v>
      </c>
      <c r="L97" s="61">
        <f t="shared" si="19"/>
        <v>1674381.5</v>
      </c>
      <c r="M97" s="61">
        <f t="shared" si="20"/>
        <v>828575.3</v>
      </c>
      <c r="N97" s="84">
        <v>6.0908999999999998E-3</v>
      </c>
      <c r="O97" s="80">
        <f t="shared" si="21"/>
        <v>2.9585118783759377E-2</v>
      </c>
      <c r="P97" s="61">
        <f t="shared" si="22"/>
        <v>300908387.92296708</v>
      </c>
      <c r="Q97" s="61">
        <f t="shared" si="23"/>
        <v>274898865.52069479</v>
      </c>
      <c r="R97" s="61">
        <f t="shared" si="24"/>
        <v>136034953.78351313</v>
      </c>
      <c r="S97" s="61">
        <v>18328029</v>
      </c>
      <c r="T97" s="61">
        <v>10135805</v>
      </c>
      <c r="U97" s="61">
        <v>1346649</v>
      </c>
      <c r="V97" s="61">
        <v>0</v>
      </c>
      <c r="W97" s="61">
        <v>1346047</v>
      </c>
      <c r="X97" s="61"/>
      <c r="Y97" s="61"/>
      <c r="Z97" s="61"/>
      <c r="AA97" s="61">
        <v>8192224</v>
      </c>
      <c r="AB97" s="61"/>
      <c r="AC97" s="61"/>
      <c r="AD97" s="61">
        <v>16743815</v>
      </c>
      <c r="AE97" s="61">
        <v>32825275</v>
      </c>
      <c r="AF97" s="61">
        <v>24539522</v>
      </c>
      <c r="AG97" s="61">
        <v>191874</v>
      </c>
      <c r="AH97" s="61">
        <v>48414</v>
      </c>
      <c r="AI97" s="61"/>
      <c r="AJ97" s="61"/>
      <c r="AK97" s="61"/>
      <c r="AL97" s="61">
        <v>143460</v>
      </c>
      <c r="AM97" s="61"/>
      <c r="AN97" s="61"/>
      <c r="AO97" s="61">
        <v>0</v>
      </c>
      <c r="AP97" s="61">
        <v>11380671</v>
      </c>
      <c r="AQ97" s="61">
        <v>12966977</v>
      </c>
      <c r="AR97" s="61">
        <v>8285753</v>
      </c>
      <c r="AS97" s="61">
        <v>6180584</v>
      </c>
      <c r="AT97" s="61">
        <v>4631022</v>
      </c>
      <c r="AU97" s="61">
        <v>1549562</v>
      </c>
      <c r="AV97" s="61">
        <v>2105169</v>
      </c>
      <c r="AW97" s="65">
        <v>1.802</v>
      </c>
      <c r="AX97">
        <f t="shared" si="14"/>
        <v>18020</v>
      </c>
      <c r="AY97" s="78">
        <f t="shared" si="25"/>
        <v>1.8019999999999999E-4</v>
      </c>
    </row>
    <row r="98" spans="1:55" x14ac:dyDescent="0.25">
      <c r="A98" s="57"/>
      <c r="B98" s="58" t="s">
        <v>97</v>
      </c>
      <c r="C98" s="55"/>
      <c r="D98" s="59" t="s">
        <v>111</v>
      </c>
      <c r="E98" s="59">
        <v>1000</v>
      </c>
      <c r="F98" s="60">
        <v>1E-4</v>
      </c>
      <c r="G98" s="61">
        <v>-2479801</v>
      </c>
      <c r="H98" s="61">
        <f t="shared" si="15"/>
        <v>-247980.1</v>
      </c>
      <c r="I98" s="146">
        <f t="shared" si="16"/>
        <v>1.9770000000000001E-4</v>
      </c>
      <c r="J98" s="61">
        <f t="shared" si="17"/>
        <v>-1254325240.2630248</v>
      </c>
      <c r="K98" s="61">
        <f t="shared" si="18"/>
        <v>1985030.3</v>
      </c>
      <c r="L98" s="61">
        <f t="shared" si="19"/>
        <v>1767725.4000000001</v>
      </c>
      <c r="M98" s="61">
        <f t="shared" si="20"/>
        <v>919390.70000000007</v>
      </c>
      <c r="N98" s="84">
        <v>6.7058999999999999E-3</v>
      </c>
      <c r="O98" s="80">
        <f t="shared" si="21"/>
        <v>2.9481501364470097E-2</v>
      </c>
      <c r="P98" s="61">
        <f t="shared" si="22"/>
        <v>296012511.37058413</v>
      </c>
      <c r="Q98" s="61">
        <f t="shared" si="23"/>
        <v>263607479.98031586</v>
      </c>
      <c r="R98" s="61">
        <f t="shared" si="24"/>
        <v>137101761.13571632</v>
      </c>
      <c r="S98" s="61">
        <v>19850303</v>
      </c>
      <c r="T98" s="61">
        <v>11107729</v>
      </c>
      <c r="U98" s="61">
        <v>1346473</v>
      </c>
      <c r="V98" s="61">
        <v>0</v>
      </c>
      <c r="W98" s="61">
        <v>1345870</v>
      </c>
      <c r="X98" s="61"/>
      <c r="Y98" s="61"/>
      <c r="Z98" s="61"/>
      <c r="AA98" s="61">
        <v>8742574</v>
      </c>
      <c r="AB98" s="61"/>
      <c r="AC98" s="61"/>
      <c r="AD98" s="61">
        <v>17677254</v>
      </c>
      <c r="AE98" s="61">
        <v>35047756</v>
      </c>
      <c r="AF98" s="61">
        <v>25853849</v>
      </c>
      <c r="AG98" s="61">
        <v>484075</v>
      </c>
      <c r="AH98" s="61">
        <v>254942</v>
      </c>
      <c r="AI98" s="61"/>
      <c r="AJ98" s="61"/>
      <c r="AK98" s="61"/>
      <c r="AL98" s="61">
        <v>229133</v>
      </c>
      <c r="AM98" s="61"/>
      <c r="AN98" s="61"/>
      <c r="AO98" s="61">
        <v>0</v>
      </c>
      <c r="AP98" s="61">
        <v>12195450</v>
      </c>
      <c r="AQ98" s="61">
        <v>13174324</v>
      </c>
      <c r="AR98" s="61">
        <v>9193907</v>
      </c>
      <c r="AS98" s="61">
        <v>6526854</v>
      </c>
      <c r="AT98" s="61">
        <v>4994082</v>
      </c>
      <c r="AU98" s="61">
        <v>1532772</v>
      </c>
      <c r="AV98" s="61">
        <v>2667053</v>
      </c>
      <c r="AW98" s="65">
        <v>1.9770000000000001</v>
      </c>
      <c r="AX98">
        <f t="shared" si="14"/>
        <v>19770</v>
      </c>
      <c r="AY98" s="78">
        <f t="shared" si="25"/>
        <v>1.9770000000000001E-4</v>
      </c>
    </row>
    <row r="99" spans="1:55" x14ac:dyDescent="0.25">
      <c r="A99" s="57"/>
      <c r="B99" s="58" t="s">
        <v>98</v>
      </c>
      <c r="C99" s="55"/>
      <c r="D99" s="59" t="s">
        <v>111</v>
      </c>
      <c r="E99" s="59">
        <v>1000</v>
      </c>
      <c r="F99" s="60">
        <v>1E-4</v>
      </c>
      <c r="G99" s="61">
        <v>-2486343</v>
      </c>
      <c r="H99" s="61">
        <f t="shared" si="15"/>
        <v>-248634.30000000002</v>
      </c>
      <c r="I99" s="146">
        <f t="shared" si="16"/>
        <v>2.2705000000000004E-4</v>
      </c>
      <c r="J99" s="61">
        <f t="shared" si="17"/>
        <v>-1095064082.8011451</v>
      </c>
      <c r="K99" s="61">
        <f t="shared" si="18"/>
        <v>2144650.3000000003</v>
      </c>
      <c r="L99" s="61">
        <f t="shared" si="19"/>
        <v>1957898.8</v>
      </c>
      <c r="M99" s="61">
        <f t="shared" si="20"/>
        <v>924159.20000000007</v>
      </c>
      <c r="N99" s="84">
        <v>7.6268999999999998E-3</v>
      </c>
      <c r="O99" s="80">
        <f t="shared" si="21"/>
        <v>2.9769631173871436E-2</v>
      </c>
      <c r="P99" s="61">
        <f t="shared" si="22"/>
        <v>281195544.71672636</v>
      </c>
      <c r="Q99" s="61">
        <f t="shared" si="23"/>
        <v>256709646.12096658</v>
      </c>
      <c r="R99" s="61">
        <f t="shared" si="24"/>
        <v>121171013.12459847</v>
      </c>
      <c r="S99" s="61">
        <v>21446503</v>
      </c>
      <c r="T99" s="61">
        <v>12398079</v>
      </c>
      <c r="U99" s="61">
        <v>1346372</v>
      </c>
      <c r="V99" s="61">
        <v>0</v>
      </c>
      <c r="W99" s="61">
        <v>1345801</v>
      </c>
      <c r="X99" s="61"/>
      <c r="Y99" s="61"/>
      <c r="Z99" s="61"/>
      <c r="AA99" s="61">
        <v>9048424</v>
      </c>
      <c r="AB99" s="61"/>
      <c r="AC99" s="61"/>
      <c r="AD99" s="61">
        <v>19578988</v>
      </c>
      <c r="AE99" s="61">
        <v>38539148</v>
      </c>
      <c r="AF99" s="61">
        <v>29297556</v>
      </c>
      <c r="AG99" s="61">
        <v>805397</v>
      </c>
      <c r="AH99" s="61">
        <v>609824</v>
      </c>
      <c r="AI99" s="61"/>
      <c r="AJ99" s="61"/>
      <c r="AK99" s="61"/>
      <c r="AL99" s="61">
        <v>195573</v>
      </c>
      <c r="AM99" s="61"/>
      <c r="AN99" s="61"/>
      <c r="AO99" s="61">
        <v>0</v>
      </c>
      <c r="AP99" s="61">
        <v>14354285</v>
      </c>
      <c r="AQ99" s="61">
        <v>14137874</v>
      </c>
      <c r="AR99" s="61">
        <v>9241592</v>
      </c>
      <c r="AS99" s="61">
        <v>6692287</v>
      </c>
      <c r="AT99" s="61">
        <v>4776379</v>
      </c>
      <c r="AU99" s="61">
        <v>1915908</v>
      </c>
      <c r="AV99" s="61">
        <v>2549305</v>
      </c>
      <c r="AW99" s="65">
        <v>2.2705000000000002</v>
      </c>
      <c r="AX99">
        <f t="shared" si="14"/>
        <v>22705.000000000004</v>
      </c>
      <c r="AY99" s="78">
        <f t="shared" si="25"/>
        <v>2.2705000000000004E-4</v>
      </c>
    </row>
    <row r="100" spans="1:55" x14ac:dyDescent="0.25">
      <c r="A100" s="57"/>
      <c r="B100" s="58" t="s">
        <v>99</v>
      </c>
      <c r="C100" s="55"/>
      <c r="D100" s="59" t="s">
        <v>111</v>
      </c>
      <c r="E100" s="59">
        <v>1000</v>
      </c>
      <c r="F100" s="60">
        <v>1E-4</v>
      </c>
      <c r="G100" s="61">
        <v>-3165465</v>
      </c>
      <c r="H100" s="61">
        <f t="shared" si="15"/>
        <v>-316546.5</v>
      </c>
      <c r="I100" s="146">
        <f t="shared" si="16"/>
        <v>2.6354999999999998E-4</v>
      </c>
      <c r="J100" s="61">
        <f t="shared" si="17"/>
        <v>-1201087080.250427</v>
      </c>
      <c r="K100" s="61">
        <f t="shared" si="18"/>
        <v>2309135.8000000003</v>
      </c>
      <c r="L100" s="61">
        <f t="shared" si="19"/>
        <v>2170588.6</v>
      </c>
      <c r="M100" s="61">
        <f t="shared" si="20"/>
        <v>970919.60000000009</v>
      </c>
      <c r="N100" s="84">
        <v>8.5165999999999992E-3</v>
      </c>
      <c r="O100" s="80">
        <f t="shared" si="21"/>
        <v>3.0945447713876431E-2</v>
      </c>
      <c r="P100" s="61">
        <f t="shared" si="22"/>
        <v>271133527.46401149</v>
      </c>
      <c r="Q100" s="61">
        <f t="shared" si="23"/>
        <v>254865627.12819675</v>
      </c>
      <c r="R100" s="61">
        <f t="shared" si="24"/>
        <v>114003193.76276921</v>
      </c>
      <c r="S100" s="61">
        <v>23091358</v>
      </c>
      <c r="T100" s="61">
        <v>14044107</v>
      </c>
      <c r="U100" s="61">
        <v>1346677</v>
      </c>
      <c r="V100" s="61">
        <v>0</v>
      </c>
      <c r="W100" s="61">
        <v>1345795</v>
      </c>
      <c r="X100" s="61"/>
      <c r="Y100" s="61"/>
      <c r="Z100" s="61"/>
      <c r="AA100" s="61">
        <v>9047251</v>
      </c>
      <c r="AB100" s="61"/>
      <c r="AC100" s="61"/>
      <c r="AD100" s="61">
        <v>21705886</v>
      </c>
      <c r="AE100" s="61">
        <v>41631779</v>
      </c>
      <c r="AF100" s="61">
        <v>31922583</v>
      </c>
      <c r="AG100" s="61">
        <v>436520</v>
      </c>
      <c r="AH100" s="61">
        <v>232496</v>
      </c>
      <c r="AI100" s="61"/>
      <c r="AJ100" s="61"/>
      <c r="AK100" s="61"/>
      <c r="AL100" s="61">
        <v>204024</v>
      </c>
      <c r="AM100" s="61"/>
      <c r="AN100" s="61"/>
      <c r="AO100" s="61">
        <v>0</v>
      </c>
      <c r="AP100" s="61">
        <v>15694647</v>
      </c>
      <c r="AQ100" s="61">
        <v>15791416</v>
      </c>
      <c r="AR100" s="61">
        <v>9709196</v>
      </c>
      <c r="AS100" s="61">
        <v>6752683</v>
      </c>
      <c r="AT100" s="61">
        <v>4914168</v>
      </c>
      <c r="AU100" s="61">
        <v>1838515</v>
      </c>
      <c r="AV100" s="61">
        <v>2956513</v>
      </c>
      <c r="AW100" s="65">
        <v>2.6355</v>
      </c>
      <c r="AX100">
        <f t="shared" si="14"/>
        <v>26355</v>
      </c>
      <c r="AY100" s="78">
        <f t="shared" si="25"/>
        <v>2.6354999999999998E-4</v>
      </c>
    </row>
    <row r="101" spans="1:55" x14ac:dyDescent="0.25">
      <c r="A101" s="57"/>
      <c r="B101" s="58" t="s">
        <v>100</v>
      </c>
      <c r="C101" s="55"/>
      <c r="D101" s="59" t="s">
        <v>111</v>
      </c>
      <c r="E101" s="59">
        <v>1000</v>
      </c>
      <c r="F101" s="60">
        <v>1E-4</v>
      </c>
      <c r="G101" s="61">
        <v>-2643564</v>
      </c>
      <c r="H101" s="61">
        <f t="shared" si="15"/>
        <v>-264356.40000000002</v>
      </c>
      <c r="I101" s="146">
        <f t="shared" si="16"/>
        <v>3.1300000000000002E-4</v>
      </c>
      <c r="J101" s="61">
        <f t="shared" si="17"/>
        <v>-844589137.38019168</v>
      </c>
      <c r="K101" s="61">
        <f t="shared" si="18"/>
        <v>2649226.5</v>
      </c>
      <c r="L101" s="61">
        <f t="shared" si="19"/>
        <v>2435845.2000000002</v>
      </c>
      <c r="M101" s="61">
        <f t="shared" si="20"/>
        <v>1186470.8</v>
      </c>
      <c r="N101" s="84">
        <v>1.01838E-2</v>
      </c>
      <c r="O101" s="80">
        <f t="shared" si="21"/>
        <v>3.0735089063021664E-2</v>
      </c>
      <c r="P101" s="61">
        <f t="shared" si="22"/>
        <v>260141253.75596535</v>
      </c>
      <c r="Q101" s="61">
        <f t="shared" si="23"/>
        <v>239188240.14611444</v>
      </c>
      <c r="R101" s="61">
        <f t="shared" si="24"/>
        <v>116505705.13953535</v>
      </c>
      <c r="S101" s="61">
        <v>26492265</v>
      </c>
      <c r="T101" s="61">
        <v>16244115</v>
      </c>
      <c r="U101" s="61">
        <v>1346990</v>
      </c>
      <c r="V101" s="61">
        <v>0</v>
      </c>
      <c r="W101" s="61">
        <v>1345799</v>
      </c>
      <c r="X101" s="61"/>
      <c r="Y101" s="61"/>
      <c r="Z101" s="61"/>
      <c r="AA101" s="61">
        <v>10248150</v>
      </c>
      <c r="AB101" s="61"/>
      <c r="AC101" s="61"/>
      <c r="AD101" s="61">
        <v>24358452</v>
      </c>
      <c r="AE101" s="61">
        <v>48207153</v>
      </c>
      <c r="AF101" s="61">
        <v>36342445</v>
      </c>
      <c r="AG101" s="61">
        <v>1469442</v>
      </c>
      <c r="AH101" s="61">
        <v>1258394</v>
      </c>
      <c r="AI101" s="61"/>
      <c r="AJ101" s="61"/>
      <c r="AK101" s="61"/>
      <c r="AL101" s="61">
        <v>211048</v>
      </c>
      <c r="AM101" s="61"/>
      <c r="AN101" s="61"/>
      <c r="AO101" s="61">
        <v>0</v>
      </c>
      <c r="AP101" s="61">
        <v>17306109</v>
      </c>
      <c r="AQ101" s="61">
        <v>17566894</v>
      </c>
      <c r="AR101" s="61">
        <v>11864708</v>
      </c>
      <c r="AS101" s="61">
        <v>8040328</v>
      </c>
      <c r="AT101" s="61">
        <v>5955198</v>
      </c>
      <c r="AU101" s="61">
        <v>2085130</v>
      </c>
      <c r="AV101" s="61">
        <v>3824380</v>
      </c>
      <c r="AW101" s="65">
        <v>3.13</v>
      </c>
      <c r="AX101">
        <f t="shared" si="14"/>
        <v>31300</v>
      </c>
      <c r="AY101" s="78">
        <f t="shared" si="25"/>
        <v>3.1300000000000002E-4</v>
      </c>
    </row>
    <row r="102" spans="1:55" x14ac:dyDescent="0.25">
      <c r="A102" s="57"/>
      <c r="B102" s="58" t="s">
        <v>101</v>
      </c>
      <c r="C102" s="55"/>
      <c r="D102" s="59" t="s">
        <v>111</v>
      </c>
      <c r="E102" s="59">
        <v>1000</v>
      </c>
      <c r="F102" s="60">
        <v>1E-4</v>
      </c>
      <c r="G102" s="61">
        <v>-2759434</v>
      </c>
      <c r="H102" s="61">
        <f t="shared" si="15"/>
        <v>-275943.40000000002</v>
      </c>
      <c r="I102" s="146">
        <f t="shared" si="16"/>
        <v>4.35E-4</v>
      </c>
      <c r="J102" s="61">
        <f t="shared" si="17"/>
        <v>-634352643.67816103</v>
      </c>
      <c r="K102" s="61">
        <f t="shared" si="18"/>
        <v>2758851.6</v>
      </c>
      <c r="L102" s="61">
        <f t="shared" si="19"/>
        <v>2585741</v>
      </c>
      <c r="M102" s="61">
        <f t="shared" si="20"/>
        <v>1199293.5</v>
      </c>
      <c r="N102" s="84">
        <v>1.1229599999999999E-2</v>
      </c>
      <c r="O102" s="80">
        <f t="shared" si="21"/>
        <v>3.8736909596067536E-2</v>
      </c>
      <c r="P102" s="61">
        <f t="shared" si="22"/>
        <v>245676747.16819835</v>
      </c>
      <c r="Q102" s="61">
        <f t="shared" si="23"/>
        <v>230261184.72608107</v>
      </c>
      <c r="R102" s="61">
        <f t="shared" si="24"/>
        <v>106797526.18080787</v>
      </c>
      <c r="S102" s="61">
        <v>27588516</v>
      </c>
      <c r="T102" s="61">
        <v>17345103</v>
      </c>
      <c r="U102" s="61">
        <v>1346904</v>
      </c>
      <c r="V102" s="61">
        <v>0</v>
      </c>
      <c r="W102" s="61">
        <v>1345452</v>
      </c>
      <c r="X102" s="61"/>
      <c r="Y102" s="61"/>
      <c r="Z102" s="61"/>
      <c r="AA102" s="61">
        <v>10243413</v>
      </c>
      <c r="AB102" s="61"/>
      <c r="AC102" s="61"/>
      <c r="AD102" s="61">
        <v>25857410</v>
      </c>
      <c r="AE102" s="61">
        <v>50686492</v>
      </c>
      <c r="AF102" s="61">
        <v>38693557</v>
      </c>
      <c r="AG102" s="61">
        <v>715788</v>
      </c>
      <c r="AH102" s="61">
        <v>473268</v>
      </c>
      <c r="AI102" s="61"/>
      <c r="AJ102" s="61"/>
      <c r="AK102" s="61"/>
      <c r="AL102" s="61">
        <v>242520</v>
      </c>
      <c r="AM102" s="61"/>
      <c r="AN102" s="61"/>
      <c r="AO102" s="61">
        <v>0</v>
      </c>
      <c r="AP102" s="61">
        <v>18557222</v>
      </c>
      <c r="AQ102" s="61">
        <v>19420547</v>
      </c>
      <c r="AR102" s="61">
        <v>11992935</v>
      </c>
      <c r="AS102" s="61">
        <v>8986961</v>
      </c>
      <c r="AT102" s="61">
        <v>6473411</v>
      </c>
      <c r="AU102" s="61">
        <v>2513550</v>
      </c>
      <c r="AV102" s="61">
        <v>3005974</v>
      </c>
      <c r="AW102" s="65">
        <v>4.3499999999999996</v>
      </c>
      <c r="AX102">
        <f t="shared" si="14"/>
        <v>43500</v>
      </c>
      <c r="AY102" s="78">
        <f t="shared" si="25"/>
        <v>4.35E-4</v>
      </c>
    </row>
    <row r="103" spans="1:55" x14ac:dyDescent="0.25">
      <c r="A103" s="57"/>
      <c r="B103" s="58" t="s">
        <v>102</v>
      </c>
      <c r="C103" s="55"/>
      <c r="D103" s="59" t="s">
        <v>111</v>
      </c>
      <c r="E103" s="59">
        <v>1000</v>
      </c>
      <c r="F103" s="60">
        <v>1E-4</v>
      </c>
      <c r="G103" s="61">
        <v>-20446783</v>
      </c>
      <c r="H103" s="61">
        <f t="shared" si="15"/>
        <v>-2044678.3</v>
      </c>
      <c r="I103" s="146">
        <f t="shared" si="16"/>
        <v>5.1199999999999998E-4</v>
      </c>
      <c r="J103" s="61">
        <f t="shared" si="17"/>
        <v>-3993512304.6875005</v>
      </c>
      <c r="K103" s="61">
        <f t="shared" si="18"/>
        <v>4814432.2</v>
      </c>
      <c r="L103" s="61">
        <f t="shared" si="19"/>
        <v>4463418.6000000006</v>
      </c>
      <c r="M103" s="61">
        <f t="shared" si="20"/>
        <v>1351900.4000000001</v>
      </c>
      <c r="N103" s="84">
        <v>1.1610499999999999E-2</v>
      </c>
      <c r="O103" s="80">
        <f t="shared" si="21"/>
        <v>4.4098014728047891E-2</v>
      </c>
      <c r="P103" s="61">
        <f t="shared" si="22"/>
        <v>414661918.09138286</v>
      </c>
      <c r="Q103" s="61">
        <f t="shared" si="23"/>
        <v>384429490.54734945</v>
      </c>
      <c r="R103" s="61">
        <f t="shared" si="24"/>
        <v>116437741.69932391</v>
      </c>
      <c r="S103" s="61">
        <v>48144322</v>
      </c>
      <c r="T103" s="61">
        <v>19161230</v>
      </c>
      <c r="U103" s="61">
        <v>1345547</v>
      </c>
      <c r="V103" s="61">
        <v>0</v>
      </c>
      <c r="W103" s="61">
        <v>1344982</v>
      </c>
      <c r="X103" s="61"/>
      <c r="Y103" s="61"/>
      <c r="Z103" s="61"/>
      <c r="AA103" s="61">
        <v>28983092</v>
      </c>
      <c r="AB103" s="61"/>
      <c r="AC103" s="61"/>
      <c r="AD103" s="61">
        <v>44634186</v>
      </c>
      <c r="AE103" s="61">
        <v>72331725</v>
      </c>
      <c r="AF103" s="61">
        <v>58812721</v>
      </c>
      <c r="AG103" s="61">
        <v>2578820</v>
      </c>
      <c r="AH103" s="61">
        <v>2037937</v>
      </c>
      <c r="AI103" s="61"/>
      <c r="AJ103" s="61"/>
      <c r="AK103" s="61"/>
      <c r="AL103" s="61">
        <v>540883</v>
      </c>
      <c r="AM103" s="61"/>
      <c r="AN103" s="61"/>
      <c r="AO103" s="61">
        <v>0</v>
      </c>
      <c r="AP103" s="61">
        <v>20062701</v>
      </c>
      <c r="AQ103" s="61">
        <v>36171200</v>
      </c>
      <c r="AR103" s="61">
        <v>13519004</v>
      </c>
      <c r="AS103" s="61">
        <v>11940323</v>
      </c>
      <c r="AT103" s="61">
        <v>9234725</v>
      </c>
      <c r="AU103" s="61">
        <v>2705598</v>
      </c>
      <c r="AV103" s="61">
        <v>1578681</v>
      </c>
      <c r="AW103" s="65">
        <v>5.12</v>
      </c>
      <c r="AX103">
        <f t="shared" si="14"/>
        <v>51200</v>
      </c>
      <c r="AY103" s="78">
        <f t="shared" si="25"/>
        <v>5.1199999999999998E-4</v>
      </c>
      <c r="BA103" s="68">
        <v>1987</v>
      </c>
      <c r="BB103" s="72">
        <v>2.8650000000000003E-4</v>
      </c>
      <c r="BC103">
        <f>+BB103*100000000</f>
        <v>28650.000000000004</v>
      </c>
    </row>
    <row r="104" spans="1:55" x14ac:dyDescent="0.25">
      <c r="A104" s="62">
        <v>1988.01</v>
      </c>
      <c r="B104" s="58" t="s">
        <v>103</v>
      </c>
      <c r="C104" s="55"/>
      <c r="D104" s="59" t="s">
        <v>111</v>
      </c>
      <c r="E104" s="59">
        <v>1000000</v>
      </c>
      <c r="F104" s="60">
        <v>1E-4</v>
      </c>
      <c r="G104" s="61">
        <v>-21405.416000000001</v>
      </c>
      <c r="H104" s="61">
        <f t="shared" si="15"/>
        <v>-2140541.6</v>
      </c>
      <c r="I104" s="146">
        <f t="shared" si="16"/>
        <v>5.5400000000000002E-4</v>
      </c>
      <c r="J104" s="61">
        <f t="shared" si="17"/>
        <v>-3863793501.8050542</v>
      </c>
      <c r="K104" s="61">
        <f t="shared" si="18"/>
        <v>5285148.4000000004</v>
      </c>
      <c r="L104" s="61">
        <f t="shared" si="19"/>
        <v>4666474.2000000011</v>
      </c>
      <c r="M104" s="61">
        <f t="shared" si="20"/>
        <v>1437635.6</v>
      </c>
      <c r="N104" s="85">
        <v>1.2666E-2</v>
      </c>
      <c r="O104" s="80">
        <f t="shared" si="21"/>
        <v>4.3739144165482392E-2</v>
      </c>
      <c r="P104" s="61">
        <f t="shared" si="22"/>
        <v>417270519.50102639</v>
      </c>
      <c r="Q104" s="61">
        <f t="shared" si="23"/>
        <v>368425248.69729996</v>
      </c>
      <c r="R104" s="61">
        <f t="shared" si="24"/>
        <v>113503521.23795989</v>
      </c>
      <c r="S104" s="61">
        <v>52851.483999999997</v>
      </c>
      <c r="T104" s="61">
        <v>21838.392</v>
      </c>
      <c r="U104" s="61">
        <v>1518.3470000000016</v>
      </c>
      <c r="V104" s="61">
        <v>0</v>
      </c>
      <c r="W104" s="61">
        <v>1344.806</v>
      </c>
      <c r="X104" s="61"/>
      <c r="Y104" s="61"/>
      <c r="Z104" s="61"/>
      <c r="AA104" s="61">
        <v>31013.091999999997</v>
      </c>
      <c r="AB104" s="61"/>
      <c r="AC104" s="61"/>
      <c r="AD104" s="61">
        <v>46664.742000000006</v>
      </c>
      <c r="AE104" s="61">
        <v>78110.81</v>
      </c>
      <c r="AF104" s="61">
        <v>63734.453999999998</v>
      </c>
      <c r="AG104" s="61">
        <v>3808.6329999999998</v>
      </c>
      <c r="AH104" s="61">
        <v>3370.31</v>
      </c>
      <c r="AI104" s="61"/>
      <c r="AJ104" s="61"/>
      <c r="AK104" s="61"/>
      <c r="AL104" s="61">
        <v>438.32299999999998</v>
      </c>
      <c r="AM104" s="61"/>
      <c r="AN104" s="61"/>
      <c r="AO104" s="61">
        <v>0</v>
      </c>
      <c r="AP104" s="61">
        <v>22634.9</v>
      </c>
      <c r="AQ104" s="61">
        <v>37290.921000000009</v>
      </c>
      <c r="AR104" s="61">
        <v>14376.356</v>
      </c>
      <c r="AS104" s="61">
        <v>11110.984</v>
      </c>
      <c r="AT104" s="61">
        <v>8627.9840000000004</v>
      </c>
      <c r="AU104" s="61">
        <v>2483</v>
      </c>
      <c r="AV104" s="61">
        <v>3265.3719999999998</v>
      </c>
      <c r="AW104" s="65">
        <v>5.54</v>
      </c>
      <c r="AX104">
        <f t="shared" si="14"/>
        <v>55400</v>
      </c>
      <c r="AY104" s="78">
        <f t="shared" si="25"/>
        <v>5.5400000000000002E-4</v>
      </c>
    </row>
    <row r="105" spans="1:55" x14ac:dyDescent="0.25">
      <c r="A105" s="57"/>
      <c r="B105" s="58" t="s">
        <v>104</v>
      </c>
      <c r="C105" s="55"/>
      <c r="D105" s="59" t="s">
        <v>111</v>
      </c>
      <c r="E105" s="59">
        <v>1000000</v>
      </c>
      <c r="F105" s="60">
        <v>1E-4</v>
      </c>
      <c r="G105" s="61">
        <v>-21400.805</v>
      </c>
      <c r="H105" s="61">
        <f t="shared" si="15"/>
        <v>-2140080.5</v>
      </c>
      <c r="I105" s="146">
        <f t="shared" si="16"/>
        <v>6.1700000000000004E-4</v>
      </c>
      <c r="J105" s="61">
        <f t="shared" si="17"/>
        <v>-3468525931.9286871</v>
      </c>
      <c r="K105" s="61">
        <f t="shared" si="18"/>
        <v>5546335.0999999996</v>
      </c>
      <c r="L105" s="61">
        <f t="shared" si="19"/>
        <v>5081909.8999999994</v>
      </c>
      <c r="M105" s="61">
        <f t="shared" si="20"/>
        <v>1359145</v>
      </c>
      <c r="N105" s="85">
        <v>1.3986E-2</v>
      </c>
      <c r="O105" s="80">
        <f t="shared" si="21"/>
        <v>4.4115544115544116E-2</v>
      </c>
      <c r="P105" s="61">
        <f t="shared" si="22"/>
        <v>396563356.2133562</v>
      </c>
      <c r="Q105" s="61">
        <f t="shared" si="23"/>
        <v>363356921.20692116</v>
      </c>
      <c r="R105" s="61">
        <f t="shared" si="24"/>
        <v>97178964.678964674</v>
      </c>
      <c r="S105" s="61">
        <v>55463.350999999995</v>
      </c>
      <c r="T105" s="61">
        <v>24450.259000000002</v>
      </c>
      <c r="U105" s="61">
        <v>1657.6580000000031</v>
      </c>
      <c r="V105" s="61">
        <v>0</v>
      </c>
      <c r="W105" s="61">
        <v>1341.7940000000001</v>
      </c>
      <c r="X105" s="61"/>
      <c r="Y105" s="61"/>
      <c r="Z105" s="61"/>
      <c r="AA105" s="61">
        <v>31013.091999999997</v>
      </c>
      <c r="AB105" s="61"/>
      <c r="AC105" s="61"/>
      <c r="AD105" s="61">
        <v>50819.098999999995</v>
      </c>
      <c r="AE105" s="61">
        <v>84881.64499999999</v>
      </c>
      <c r="AF105" s="61">
        <v>71289.890522000002</v>
      </c>
      <c r="AG105" s="61">
        <v>2872.4669999999996</v>
      </c>
      <c r="AH105" s="61">
        <v>2417.2639999999997</v>
      </c>
      <c r="AI105" s="61"/>
      <c r="AJ105" s="61"/>
      <c r="AK105" s="61"/>
      <c r="AL105" s="61">
        <v>455.20299999999997</v>
      </c>
      <c r="AM105" s="61"/>
      <c r="AN105" s="61"/>
      <c r="AO105" s="61">
        <v>304.47800000000001</v>
      </c>
      <c r="AP105" s="61">
        <v>25165.170999999998</v>
      </c>
      <c r="AQ105" s="61">
        <v>42947.774522000007</v>
      </c>
      <c r="AR105" s="61">
        <v>13591.45</v>
      </c>
      <c r="AS105" s="61">
        <v>11080.264999999999</v>
      </c>
      <c r="AT105" s="61">
        <v>8281.2649999999994</v>
      </c>
      <c r="AU105" s="61">
        <v>2799</v>
      </c>
      <c r="AV105" s="61">
        <v>2511.1849999999999</v>
      </c>
      <c r="AW105" s="65">
        <v>6.17</v>
      </c>
      <c r="AX105">
        <f t="shared" si="14"/>
        <v>61700</v>
      </c>
      <c r="AY105" s="78">
        <f t="shared" si="25"/>
        <v>6.1700000000000004E-4</v>
      </c>
    </row>
    <row r="106" spans="1:55" x14ac:dyDescent="0.25">
      <c r="A106" s="57"/>
      <c r="B106" s="58" t="s">
        <v>105</v>
      </c>
      <c r="C106" s="55"/>
      <c r="D106" s="59" t="s">
        <v>111</v>
      </c>
      <c r="E106" s="59">
        <v>1000000</v>
      </c>
      <c r="F106" s="60">
        <v>1E-4</v>
      </c>
      <c r="G106" s="61">
        <v>-21142.23</v>
      </c>
      <c r="H106" s="61">
        <f t="shared" si="15"/>
        <v>-2114223</v>
      </c>
      <c r="I106" s="146">
        <f t="shared" si="16"/>
        <v>6.6200000000000005E-4</v>
      </c>
      <c r="J106" s="61">
        <f t="shared" si="17"/>
        <v>-3193690332.3262839</v>
      </c>
      <c r="K106" s="61">
        <f t="shared" si="18"/>
        <v>6310498.1000000006</v>
      </c>
      <c r="L106" s="61">
        <f t="shared" si="19"/>
        <v>5665151.9000000004</v>
      </c>
      <c r="M106" s="61">
        <f t="shared" si="20"/>
        <v>1560624.6</v>
      </c>
      <c r="N106" s="85">
        <v>1.6049999999999998E-2</v>
      </c>
      <c r="O106" s="80">
        <f t="shared" si="21"/>
        <v>4.1246105919003122E-2</v>
      </c>
      <c r="P106" s="61">
        <f t="shared" si="22"/>
        <v>393177451.71339571</v>
      </c>
      <c r="Q106" s="61">
        <f t="shared" si="23"/>
        <v>352968965.73208731</v>
      </c>
      <c r="R106" s="61">
        <f t="shared" si="24"/>
        <v>97235177.570093468</v>
      </c>
      <c r="S106" s="61">
        <v>63104.981</v>
      </c>
      <c r="T106" s="61">
        <v>30043.889000000003</v>
      </c>
      <c r="U106" s="61">
        <v>3326.6690000000017</v>
      </c>
      <c r="V106" s="61">
        <v>0</v>
      </c>
      <c r="W106" s="61">
        <v>3010.6119999999996</v>
      </c>
      <c r="X106" s="61"/>
      <c r="Y106" s="61"/>
      <c r="Z106" s="61"/>
      <c r="AA106" s="61">
        <v>33061.091999999997</v>
      </c>
      <c r="AB106" s="61"/>
      <c r="AC106" s="61"/>
      <c r="AD106" s="61">
        <v>56651.519</v>
      </c>
      <c r="AE106" s="61">
        <v>98614.27</v>
      </c>
      <c r="AF106" s="61">
        <v>83007.724648000003</v>
      </c>
      <c r="AG106" s="61">
        <v>3802.125</v>
      </c>
      <c r="AH106" s="61">
        <v>3449.942</v>
      </c>
      <c r="AI106" s="61"/>
      <c r="AJ106" s="61"/>
      <c r="AK106" s="61"/>
      <c r="AL106" s="61">
        <v>352.18299999999999</v>
      </c>
      <c r="AM106" s="61"/>
      <c r="AN106" s="61"/>
      <c r="AO106" s="61">
        <v>299.35199999999998</v>
      </c>
      <c r="AP106" s="61">
        <v>30478.384999999998</v>
      </c>
      <c r="AQ106" s="61">
        <v>48427.862648000002</v>
      </c>
      <c r="AR106" s="61">
        <v>15606.245999999999</v>
      </c>
      <c r="AS106" s="61">
        <v>12428.23</v>
      </c>
      <c r="AT106" s="61">
        <v>9453.23</v>
      </c>
      <c r="AU106" s="61">
        <v>2975</v>
      </c>
      <c r="AV106" s="61">
        <v>3178.0160000000001</v>
      </c>
      <c r="AW106" s="65">
        <v>6.62</v>
      </c>
      <c r="AX106">
        <f t="shared" si="14"/>
        <v>66200</v>
      </c>
      <c r="AY106" s="78">
        <f t="shared" si="25"/>
        <v>6.6200000000000005E-4</v>
      </c>
    </row>
    <row r="107" spans="1:55" x14ac:dyDescent="0.25">
      <c r="A107" s="57"/>
      <c r="B107" s="58" t="s">
        <v>106</v>
      </c>
      <c r="C107" s="55"/>
      <c r="D107" s="59" t="s">
        <v>111</v>
      </c>
      <c r="E107" s="59">
        <v>1000000</v>
      </c>
      <c r="F107" s="60">
        <v>1E-4</v>
      </c>
      <c r="G107" s="61">
        <v>-20441.335000000003</v>
      </c>
      <c r="H107" s="61">
        <f t="shared" si="15"/>
        <v>-2044133.5000000005</v>
      </c>
      <c r="I107" s="146">
        <f t="shared" si="16"/>
        <v>7.4899999999999999E-4</v>
      </c>
      <c r="J107" s="61">
        <f t="shared" si="17"/>
        <v>-2729150200.2670236</v>
      </c>
      <c r="K107" s="61">
        <f t="shared" si="18"/>
        <v>6720399.2000000002</v>
      </c>
      <c r="L107" s="61">
        <f t="shared" si="19"/>
        <v>6175666.3000000007</v>
      </c>
      <c r="M107" s="61">
        <f t="shared" si="20"/>
        <v>1721673.5</v>
      </c>
      <c r="N107" s="85">
        <v>1.8815999999999999E-2</v>
      </c>
      <c r="O107" s="80">
        <f t="shared" si="21"/>
        <v>3.9806547619047616E-2</v>
      </c>
      <c r="P107" s="61">
        <f t="shared" si="22"/>
        <v>357164073.12925172</v>
      </c>
      <c r="Q107" s="61">
        <f t="shared" si="23"/>
        <v>328213557.61054426</v>
      </c>
      <c r="R107" s="61">
        <f t="shared" si="24"/>
        <v>91500504.88945578</v>
      </c>
      <c r="S107" s="61">
        <v>67203.991999999998</v>
      </c>
      <c r="T107" s="61">
        <v>34142.9</v>
      </c>
      <c r="U107" s="61">
        <v>3272.77</v>
      </c>
      <c r="V107" s="61">
        <v>0</v>
      </c>
      <c r="W107" s="61">
        <v>3271.7489999999998</v>
      </c>
      <c r="X107" s="61"/>
      <c r="Y107" s="61"/>
      <c r="Z107" s="61"/>
      <c r="AA107" s="61">
        <v>33061.091999999997</v>
      </c>
      <c r="AB107" s="61"/>
      <c r="AC107" s="61"/>
      <c r="AD107" s="61">
        <v>61756.663</v>
      </c>
      <c r="AE107" s="61">
        <v>108519.32</v>
      </c>
      <c r="AF107" s="61">
        <v>91302.286065000022</v>
      </c>
      <c r="AG107" s="61">
        <v>2972.65</v>
      </c>
      <c r="AH107" s="61">
        <v>2767.9790000000003</v>
      </c>
      <c r="AI107" s="61"/>
      <c r="AJ107" s="61"/>
      <c r="AK107" s="61"/>
      <c r="AL107" s="61">
        <v>204.67099999999999</v>
      </c>
      <c r="AM107" s="61"/>
      <c r="AN107" s="61"/>
      <c r="AO107" s="61">
        <v>298.935</v>
      </c>
      <c r="AP107" s="61">
        <v>34377.741000000002</v>
      </c>
      <c r="AQ107" s="61">
        <v>53652.960064999999</v>
      </c>
      <c r="AR107" s="61">
        <v>17216.735000000001</v>
      </c>
      <c r="AS107" s="61">
        <v>13897.531000000001</v>
      </c>
      <c r="AT107" s="61">
        <v>10262.531000000001</v>
      </c>
      <c r="AU107" s="61">
        <v>3635</v>
      </c>
      <c r="AV107" s="61">
        <v>3319.2039999999997</v>
      </c>
      <c r="AW107" s="65">
        <v>7.49</v>
      </c>
      <c r="AX107">
        <f t="shared" si="14"/>
        <v>74900</v>
      </c>
      <c r="AY107" s="78">
        <f t="shared" si="25"/>
        <v>7.4899999999999999E-4</v>
      </c>
    </row>
    <row r="108" spans="1:55" x14ac:dyDescent="0.25">
      <c r="A108" s="57"/>
      <c r="B108" s="58" t="s">
        <v>107</v>
      </c>
      <c r="C108" s="55"/>
      <c r="D108" s="59" t="s">
        <v>111</v>
      </c>
      <c r="E108" s="59">
        <v>1000000</v>
      </c>
      <c r="F108" s="60">
        <v>1E-4</v>
      </c>
      <c r="G108" s="61">
        <v>-18825.292999999998</v>
      </c>
      <c r="H108" s="61">
        <f t="shared" si="15"/>
        <v>-1882529.2999999998</v>
      </c>
      <c r="I108" s="146">
        <f t="shared" si="16"/>
        <v>9.2000000000000003E-4</v>
      </c>
      <c r="J108" s="61">
        <f t="shared" si="17"/>
        <v>-2046227499.9999998</v>
      </c>
      <c r="K108" s="61">
        <f t="shared" si="18"/>
        <v>7387069.5</v>
      </c>
      <c r="L108" s="61">
        <f t="shared" si="19"/>
        <v>7201743.8000000007</v>
      </c>
      <c r="M108" s="61">
        <f t="shared" si="20"/>
        <v>2043377.5</v>
      </c>
      <c r="N108" s="85">
        <v>2.1772E-2</v>
      </c>
      <c r="O108" s="80">
        <f t="shared" si="21"/>
        <v>4.2256108763549516E-2</v>
      </c>
      <c r="P108" s="61">
        <f t="shared" si="22"/>
        <v>339292187.21293408</v>
      </c>
      <c r="Q108" s="61">
        <f t="shared" si="23"/>
        <v>330780075.32610697</v>
      </c>
      <c r="R108" s="61">
        <f t="shared" si="24"/>
        <v>93853458.57064119</v>
      </c>
      <c r="S108" s="61">
        <v>73870.695000000007</v>
      </c>
      <c r="T108" s="61">
        <v>40809.627</v>
      </c>
      <c r="U108" s="61">
        <v>5617.4440000000031</v>
      </c>
      <c r="V108" s="61">
        <v>0</v>
      </c>
      <c r="W108" s="61">
        <v>5616.1590000000006</v>
      </c>
      <c r="X108" s="61"/>
      <c r="Y108" s="61"/>
      <c r="Z108" s="61"/>
      <c r="AA108" s="61">
        <v>33061.067999999999</v>
      </c>
      <c r="AB108" s="61"/>
      <c r="AC108" s="61"/>
      <c r="AD108" s="61">
        <v>72017.437999999995</v>
      </c>
      <c r="AE108" s="61">
        <v>127062.84</v>
      </c>
      <c r="AF108" s="61">
        <v>106628.473392</v>
      </c>
      <c r="AG108" s="61">
        <v>2415</v>
      </c>
      <c r="AH108" s="61">
        <v>2115.1930000000002</v>
      </c>
      <c r="AI108" s="61"/>
      <c r="AJ108" s="61"/>
      <c r="AK108" s="61"/>
      <c r="AL108" s="61">
        <v>299.80700000000002</v>
      </c>
      <c r="AM108" s="61"/>
      <c r="AN108" s="61"/>
      <c r="AO108" s="61">
        <v>591.60799999999995</v>
      </c>
      <c r="AP108" s="61">
        <v>40833.436000000002</v>
      </c>
      <c r="AQ108" s="61">
        <v>62788.429391999998</v>
      </c>
      <c r="AR108" s="61">
        <v>20433.775000000001</v>
      </c>
      <c r="AS108" s="61">
        <v>16148.484</v>
      </c>
      <c r="AT108" s="61">
        <v>11263.484</v>
      </c>
      <c r="AU108" s="61">
        <v>4885</v>
      </c>
      <c r="AV108" s="61">
        <v>4285.2910000000002</v>
      </c>
      <c r="AW108" s="65">
        <v>9.1999999999999993</v>
      </c>
      <c r="AX108">
        <f t="shared" si="14"/>
        <v>92000</v>
      </c>
      <c r="AY108" s="78">
        <f t="shared" si="25"/>
        <v>9.2000000000000003E-4</v>
      </c>
    </row>
    <row r="109" spans="1:55" x14ac:dyDescent="0.25">
      <c r="A109" s="57"/>
      <c r="B109" s="58" t="s">
        <v>96</v>
      </c>
      <c r="C109" s="55"/>
      <c r="D109" s="59" t="s">
        <v>111</v>
      </c>
      <c r="E109" s="59">
        <v>1000000</v>
      </c>
      <c r="F109" s="60">
        <v>1E-4</v>
      </c>
      <c r="G109" s="61">
        <v>-14617.606</v>
      </c>
      <c r="H109" s="61">
        <f t="shared" si="15"/>
        <v>-1461760.6</v>
      </c>
      <c r="I109" s="146">
        <f t="shared" si="16"/>
        <v>1.1210000000000003E-3</v>
      </c>
      <c r="J109" s="61">
        <f t="shared" si="17"/>
        <v>-1303979125.7805529</v>
      </c>
      <c r="K109" s="61">
        <f t="shared" si="18"/>
        <v>8029075.8999999985</v>
      </c>
      <c r="L109" s="61">
        <f t="shared" si="19"/>
        <v>8764113.3000000007</v>
      </c>
      <c r="M109" s="61">
        <f t="shared" si="20"/>
        <v>2349183.4</v>
      </c>
      <c r="N109" s="85">
        <v>2.5683999999999998E-2</v>
      </c>
      <c r="O109" s="80">
        <f t="shared" si="21"/>
        <v>4.3645849556143916E-2</v>
      </c>
      <c r="P109" s="61">
        <f t="shared" si="22"/>
        <v>312610025.6969319</v>
      </c>
      <c r="Q109" s="61">
        <f t="shared" si="23"/>
        <v>341228519.7009812</v>
      </c>
      <c r="R109" s="61">
        <f t="shared" si="24"/>
        <v>91464857.498831958</v>
      </c>
      <c r="S109" s="61">
        <v>80290.758999999991</v>
      </c>
      <c r="T109" s="61">
        <v>47229.938000000002</v>
      </c>
      <c r="U109" s="61">
        <v>5354.849000000002</v>
      </c>
      <c r="V109" s="61">
        <v>0</v>
      </c>
      <c r="W109" s="61">
        <v>5354.424</v>
      </c>
      <c r="X109" s="61"/>
      <c r="Y109" s="61"/>
      <c r="Z109" s="61"/>
      <c r="AA109" s="61">
        <v>33060.820999999996</v>
      </c>
      <c r="AB109" s="61"/>
      <c r="AC109" s="61"/>
      <c r="AD109" s="61">
        <v>87641.133000000002</v>
      </c>
      <c r="AE109" s="61">
        <v>153314.28599999999</v>
      </c>
      <c r="AF109" s="61">
        <v>129821.884083</v>
      </c>
      <c r="AG109" s="61">
        <v>2627.1689999999999</v>
      </c>
      <c r="AH109" s="61">
        <v>2162.317</v>
      </c>
      <c r="AI109" s="61"/>
      <c r="AJ109" s="61"/>
      <c r="AK109" s="61"/>
      <c r="AL109" s="61">
        <v>464.85199999999998</v>
      </c>
      <c r="AM109" s="61"/>
      <c r="AN109" s="61"/>
      <c r="AO109" s="61">
        <v>567.91700000000003</v>
      </c>
      <c r="AP109" s="61">
        <v>47428.324999999997</v>
      </c>
      <c r="AQ109" s="61">
        <v>79198.47308299999</v>
      </c>
      <c r="AR109" s="61">
        <v>23491.833999999999</v>
      </c>
      <c r="AS109" s="61">
        <v>20046.420999999998</v>
      </c>
      <c r="AT109" s="61">
        <v>14255.420999999998</v>
      </c>
      <c r="AU109" s="61">
        <v>5791</v>
      </c>
      <c r="AV109" s="61">
        <v>3445.413</v>
      </c>
      <c r="AW109" s="65">
        <v>11.21</v>
      </c>
      <c r="AX109">
        <f t="shared" si="14"/>
        <v>112100.00000000001</v>
      </c>
      <c r="AY109" s="78">
        <f t="shared" si="25"/>
        <v>1.1210000000000003E-3</v>
      </c>
    </row>
    <row r="110" spans="1:55" x14ac:dyDescent="0.25">
      <c r="A110" s="57"/>
      <c r="B110" s="58" t="s">
        <v>97</v>
      </c>
      <c r="C110" s="55"/>
      <c r="D110" s="59" t="s">
        <v>111</v>
      </c>
      <c r="E110" s="59">
        <v>1000000</v>
      </c>
      <c r="F110" s="60">
        <v>1E-4</v>
      </c>
      <c r="G110" s="61">
        <v>-9635.6939999999995</v>
      </c>
      <c r="H110" s="61">
        <f t="shared" si="15"/>
        <v>-963569.4</v>
      </c>
      <c r="I110" s="146">
        <f t="shared" si="16"/>
        <v>1.2960000000000001E-3</v>
      </c>
      <c r="J110" s="61">
        <f t="shared" si="17"/>
        <v>-743494907.4074074</v>
      </c>
      <c r="K110" s="61">
        <f t="shared" si="18"/>
        <v>9520481.8000000007</v>
      </c>
      <c r="L110" s="61">
        <f t="shared" si="19"/>
        <v>10740610.6</v>
      </c>
      <c r="M110" s="61">
        <f t="shared" si="20"/>
        <v>3152391.3000000003</v>
      </c>
      <c r="N110" s="85">
        <v>3.2271000000000001E-2</v>
      </c>
      <c r="O110" s="80">
        <f t="shared" si="21"/>
        <v>4.0159895881751416E-2</v>
      </c>
      <c r="P110" s="61">
        <f t="shared" si="22"/>
        <v>295016634.12971401</v>
      </c>
      <c r="Q110" s="61">
        <f t="shared" si="23"/>
        <v>332825465.5882991</v>
      </c>
      <c r="R110" s="61">
        <f t="shared" si="24"/>
        <v>97684958.631588742</v>
      </c>
      <c r="S110" s="61">
        <v>95204.817999999999</v>
      </c>
      <c r="T110" s="61">
        <v>62143.997000000003</v>
      </c>
      <c r="U110" s="61">
        <v>7248.1750000000029</v>
      </c>
      <c r="V110" s="61">
        <v>0</v>
      </c>
      <c r="W110" s="61">
        <v>7026.3050000000003</v>
      </c>
      <c r="X110" s="61"/>
      <c r="Y110" s="61"/>
      <c r="Z110" s="61"/>
      <c r="AA110" s="61">
        <v>33060.820999999996</v>
      </c>
      <c r="AB110" s="61"/>
      <c r="AC110" s="61"/>
      <c r="AD110" s="61">
        <v>107406.106</v>
      </c>
      <c r="AE110" s="61">
        <v>192975.23</v>
      </c>
      <c r="AF110" s="61">
        <v>161450.249579</v>
      </c>
      <c r="AG110" s="61">
        <v>1539.748</v>
      </c>
      <c r="AH110" s="61">
        <v>1047.155</v>
      </c>
      <c r="AI110" s="61"/>
      <c r="AJ110" s="61"/>
      <c r="AK110" s="61"/>
      <c r="AL110" s="61">
        <v>492.59300000000002</v>
      </c>
      <c r="AM110" s="61"/>
      <c r="AN110" s="61"/>
      <c r="AO110" s="61">
        <v>1067.421</v>
      </c>
      <c r="AP110" s="61">
        <v>62634.464999999997</v>
      </c>
      <c r="AQ110" s="61">
        <v>96208.61557899999</v>
      </c>
      <c r="AR110" s="61">
        <v>31523.913</v>
      </c>
      <c r="AS110" s="61">
        <v>22005.24</v>
      </c>
      <c r="AT110" s="61">
        <v>15548.24</v>
      </c>
      <c r="AU110" s="61">
        <v>6457</v>
      </c>
      <c r="AV110" s="61">
        <v>9518.6729999999989</v>
      </c>
      <c r="AW110" s="65">
        <v>12.96</v>
      </c>
      <c r="AX110">
        <f t="shared" si="14"/>
        <v>129600.00000000001</v>
      </c>
      <c r="AY110" s="78">
        <f t="shared" si="25"/>
        <v>1.2960000000000001E-3</v>
      </c>
    </row>
    <row r="111" spans="1:55" x14ac:dyDescent="0.25">
      <c r="A111" s="57"/>
      <c r="B111" s="58" t="s">
        <v>98</v>
      </c>
      <c r="C111" s="55"/>
      <c r="D111" s="59" t="s">
        <v>111</v>
      </c>
      <c r="E111" s="59">
        <v>1000000</v>
      </c>
      <c r="F111" s="60">
        <v>1E-4</v>
      </c>
      <c r="G111" s="61">
        <v>1256.75</v>
      </c>
      <c r="H111" s="61">
        <f t="shared" si="15"/>
        <v>125675</v>
      </c>
      <c r="I111" s="146">
        <f t="shared" si="16"/>
        <v>1.441E-3</v>
      </c>
      <c r="J111" s="61">
        <f t="shared" si="17"/>
        <v>87213740.458015263</v>
      </c>
      <c r="K111" s="61">
        <f t="shared" si="18"/>
        <v>11598168.500000002</v>
      </c>
      <c r="L111" s="61">
        <f t="shared" si="19"/>
        <v>13086477.300000001</v>
      </c>
      <c r="M111" s="61">
        <f t="shared" si="20"/>
        <v>3735193.4000000004</v>
      </c>
      <c r="N111" s="85">
        <v>4.1184999999999999E-2</v>
      </c>
      <c r="O111" s="80">
        <f t="shared" si="21"/>
        <v>3.498846667476023E-2</v>
      </c>
      <c r="P111" s="61">
        <f t="shared" si="22"/>
        <v>281611472.623528</v>
      </c>
      <c r="Q111" s="61">
        <f t="shared" si="23"/>
        <v>317748629.35534787</v>
      </c>
      <c r="R111" s="61">
        <f t="shared" si="24"/>
        <v>90693053.296102956</v>
      </c>
      <c r="S111" s="61">
        <v>115981.68500000001</v>
      </c>
      <c r="T111" s="61">
        <v>76920.866000000009</v>
      </c>
      <c r="U111" s="61">
        <v>11042.4</v>
      </c>
      <c r="V111" s="61">
        <v>0</v>
      </c>
      <c r="W111" s="61">
        <v>10860.841999999999</v>
      </c>
      <c r="X111" s="61"/>
      <c r="Y111" s="61"/>
      <c r="Z111" s="61"/>
      <c r="AA111" s="61">
        <v>39060.819000000003</v>
      </c>
      <c r="AB111" s="61"/>
      <c r="AC111" s="61"/>
      <c r="AD111" s="61">
        <v>130864.773</v>
      </c>
      <c r="AE111" s="61">
        <v>248103.20800000001</v>
      </c>
      <c r="AF111" s="61">
        <v>210750.247294</v>
      </c>
      <c r="AG111" s="61">
        <v>6507.0909999999994</v>
      </c>
      <c r="AH111" s="61">
        <v>6211.8469999999998</v>
      </c>
      <c r="AI111" s="61"/>
      <c r="AJ111" s="61"/>
      <c r="AK111" s="61"/>
      <c r="AL111" s="61">
        <v>295.24400000000003</v>
      </c>
      <c r="AM111" s="61"/>
      <c r="AN111" s="61"/>
      <c r="AO111" s="61">
        <v>1026.7059999999999</v>
      </c>
      <c r="AP111" s="61">
        <v>76525.509999999995</v>
      </c>
      <c r="AQ111" s="61">
        <v>126690.94029399999</v>
      </c>
      <c r="AR111" s="61">
        <v>37351.934000000001</v>
      </c>
      <c r="AS111" s="61">
        <v>26241.864000000001</v>
      </c>
      <c r="AT111" s="61">
        <v>17886.864000000001</v>
      </c>
      <c r="AU111" s="61">
        <v>8355</v>
      </c>
      <c r="AV111" s="61">
        <v>11110.07</v>
      </c>
      <c r="AW111" s="65">
        <v>14.41</v>
      </c>
      <c r="AX111">
        <f t="shared" si="14"/>
        <v>144100</v>
      </c>
      <c r="AY111" s="78">
        <f t="shared" si="25"/>
        <v>1.441E-3</v>
      </c>
    </row>
    <row r="112" spans="1:55" x14ac:dyDescent="0.25">
      <c r="A112" s="57"/>
      <c r="B112" s="58" t="s">
        <v>99</v>
      </c>
      <c r="C112" s="55"/>
      <c r="D112" s="59" t="s">
        <v>111</v>
      </c>
      <c r="E112" s="59">
        <v>1000000</v>
      </c>
      <c r="F112" s="60">
        <v>1E-4</v>
      </c>
      <c r="G112" s="61">
        <v>3712.0250000000015</v>
      </c>
      <c r="H112" s="61">
        <f t="shared" si="15"/>
        <v>371202.50000000017</v>
      </c>
      <c r="I112" s="146">
        <f t="shared" si="16"/>
        <v>1.4989999999999999E-3</v>
      </c>
      <c r="J112" s="61">
        <f t="shared" si="17"/>
        <v>247633422.28152114</v>
      </c>
      <c r="K112" s="61">
        <f t="shared" si="18"/>
        <v>12878626.200000003</v>
      </c>
      <c r="L112" s="61">
        <f t="shared" si="19"/>
        <v>16898409.900000002</v>
      </c>
      <c r="M112" s="61">
        <f t="shared" si="20"/>
        <v>4564122</v>
      </c>
      <c r="N112" s="85">
        <v>4.6002000000000001E-2</v>
      </c>
      <c r="O112" s="80">
        <f t="shared" si="21"/>
        <v>3.2585539759140907E-2</v>
      </c>
      <c r="P112" s="61">
        <f t="shared" si="22"/>
        <v>279957962.69727409</v>
      </c>
      <c r="Q112" s="61">
        <f t="shared" si="23"/>
        <v>367340765.61888617</v>
      </c>
      <c r="R112" s="61">
        <f t="shared" si="24"/>
        <v>99215729.75088039</v>
      </c>
      <c r="S112" s="61">
        <v>128786.26200000002</v>
      </c>
      <c r="T112" s="61">
        <v>89732.565000000017</v>
      </c>
      <c r="U112" s="61">
        <v>15496.99500000001</v>
      </c>
      <c r="V112" s="61">
        <v>0</v>
      </c>
      <c r="W112" s="61">
        <v>15314.982</v>
      </c>
      <c r="X112" s="61"/>
      <c r="Y112" s="61"/>
      <c r="Z112" s="61"/>
      <c r="AA112" s="61">
        <v>39053.697</v>
      </c>
      <c r="AB112" s="61"/>
      <c r="AC112" s="61"/>
      <c r="AD112" s="61">
        <v>168984.09899999999</v>
      </c>
      <c r="AE112" s="61">
        <v>301482.386</v>
      </c>
      <c r="AF112" s="61">
        <v>255840.06373600001</v>
      </c>
      <c r="AG112" s="61">
        <v>2093.19</v>
      </c>
      <c r="AH112" s="61">
        <v>1606.316</v>
      </c>
      <c r="AI112" s="61"/>
      <c r="AJ112" s="61"/>
      <c r="AK112" s="61"/>
      <c r="AL112" s="61">
        <v>486.87400000000002</v>
      </c>
      <c r="AM112" s="61"/>
      <c r="AN112" s="61"/>
      <c r="AO112" s="61">
        <v>1102.2639999999999</v>
      </c>
      <c r="AP112" s="61">
        <v>87586.33</v>
      </c>
      <c r="AQ112" s="61">
        <v>165058.279736</v>
      </c>
      <c r="AR112" s="61">
        <v>45641.22</v>
      </c>
      <c r="AS112" s="61">
        <v>31109.476999999999</v>
      </c>
      <c r="AT112" s="61">
        <v>22914.476999999999</v>
      </c>
      <c r="AU112" s="61">
        <v>8195</v>
      </c>
      <c r="AV112" s="61">
        <v>14531.742999999999</v>
      </c>
      <c r="AW112" s="65">
        <v>14.99</v>
      </c>
      <c r="AX112">
        <f t="shared" si="14"/>
        <v>149900</v>
      </c>
      <c r="AY112" s="78">
        <f t="shared" si="25"/>
        <v>1.4989999999999999E-3</v>
      </c>
    </row>
    <row r="113" spans="1:55" x14ac:dyDescent="0.25">
      <c r="A113" s="57"/>
      <c r="B113" s="58" t="s">
        <v>100</v>
      </c>
      <c r="C113" s="55"/>
      <c r="D113" s="59" t="s">
        <v>111</v>
      </c>
      <c r="E113" s="59">
        <v>1000000</v>
      </c>
      <c r="F113" s="60">
        <v>1E-4</v>
      </c>
      <c r="G113" s="61">
        <v>4789.4659999999967</v>
      </c>
      <c r="H113" s="61">
        <f t="shared" si="15"/>
        <v>478946.59999999974</v>
      </c>
      <c r="I113" s="146">
        <f t="shared" si="16"/>
        <v>1.511E-3</v>
      </c>
      <c r="J113" s="61">
        <f t="shared" si="17"/>
        <v>316973262.73990721</v>
      </c>
      <c r="K113" s="61">
        <f t="shared" si="18"/>
        <v>14527210.4</v>
      </c>
      <c r="L113" s="61">
        <f t="shared" si="19"/>
        <v>18244211.400000002</v>
      </c>
      <c r="M113" s="61">
        <f t="shared" si="20"/>
        <v>4812965.6000000006</v>
      </c>
      <c r="N113" s="85">
        <v>5.0138000000000002E-2</v>
      </c>
      <c r="O113" s="80">
        <f t="shared" si="21"/>
        <v>3.0136822370258085E-2</v>
      </c>
      <c r="P113" s="61">
        <f t="shared" si="22"/>
        <v>289744513.14372331</v>
      </c>
      <c r="Q113" s="61">
        <f t="shared" si="23"/>
        <v>363879919.42239422</v>
      </c>
      <c r="R113" s="61">
        <f t="shared" si="24"/>
        <v>95994367.545574218</v>
      </c>
      <c r="S113" s="61">
        <v>145272.10399999999</v>
      </c>
      <c r="T113" s="61">
        <v>101302.40700000001</v>
      </c>
      <c r="U113" s="61">
        <v>18366.294000000009</v>
      </c>
      <c r="V113" s="61">
        <v>0</v>
      </c>
      <c r="W113" s="61">
        <v>16333.170999999998</v>
      </c>
      <c r="X113" s="61"/>
      <c r="Y113" s="61"/>
      <c r="Z113" s="61"/>
      <c r="AA113" s="61">
        <v>43969.697</v>
      </c>
      <c r="AB113" s="61"/>
      <c r="AC113" s="61"/>
      <c r="AD113" s="61">
        <v>182442.114</v>
      </c>
      <c r="AE113" s="61">
        <v>332503.68400000001</v>
      </c>
      <c r="AF113" s="61">
        <v>284372.75723400002</v>
      </c>
      <c r="AG113" s="61">
        <v>5620.5680000000011</v>
      </c>
      <c r="AH113" s="61">
        <v>5105.0170000000007</v>
      </c>
      <c r="AI113" s="61"/>
      <c r="AJ113" s="61"/>
      <c r="AK113" s="61"/>
      <c r="AL113" s="61">
        <v>515.55100000000004</v>
      </c>
      <c r="AM113" s="61"/>
      <c r="AN113" s="61"/>
      <c r="AO113" s="61">
        <v>1270.7660000000001</v>
      </c>
      <c r="AP113" s="61">
        <v>100755.977</v>
      </c>
      <c r="AQ113" s="61">
        <v>176725.446234</v>
      </c>
      <c r="AR113" s="61">
        <v>48129.656000000003</v>
      </c>
      <c r="AS113" s="61">
        <v>35978.082999999999</v>
      </c>
      <c r="AT113" s="61">
        <v>24425.082999999999</v>
      </c>
      <c r="AU113" s="61">
        <v>11553</v>
      </c>
      <c r="AV113" s="61">
        <v>12151.573</v>
      </c>
      <c r="AW113" s="65">
        <v>15.11</v>
      </c>
      <c r="AX113">
        <f t="shared" si="14"/>
        <v>151100</v>
      </c>
      <c r="AY113" s="78">
        <f t="shared" si="25"/>
        <v>1.511E-3</v>
      </c>
    </row>
    <row r="114" spans="1:55" x14ac:dyDescent="0.25">
      <c r="A114" s="57"/>
      <c r="B114" s="58" t="s">
        <v>101</v>
      </c>
      <c r="C114" s="55"/>
      <c r="D114" s="59" t="s">
        <v>111</v>
      </c>
      <c r="E114" s="59">
        <v>1000000</v>
      </c>
      <c r="F114" s="60">
        <v>1E-4</v>
      </c>
      <c r="G114" s="61">
        <v>2370.3529999999992</v>
      </c>
      <c r="H114" s="61">
        <f t="shared" si="15"/>
        <v>237035.29999999993</v>
      </c>
      <c r="I114" s="146">
        <f t="shared" si="16"/>
        <v>1.567E-3</v>
      </c>
      <c r="J114" s="61">
        <f t="shared" si="17"/>
        <v>151266943.20357367</v>
      </c>
      <c r="K114" s="61">
        <f t="shared" si="18"/>
        <v>15706182.600000001</v>
      </c>
      <c r="L114" s="61">
        <f t="shared" si="19"/>
        <v>19478411.699999999</v>
      </c>
      <c r="M114" s="61">
        <f t="shared" si="20"/>
        <v>5657612</v>
      </c>
      <c r="N114" s="85">
        <v>5.3001E-2</v>
      </c>
      <c r="O114" s="80">
        <f t="shared" si="21"/>
        <v>2.9565479896605726E-2</v>
      </c>
      <c r="P114" s="61">
        <f t="shared" si="22"/>
        <v>296337476.651384</v>
      </c>
      <c r="Q114" s="61">
        <f t="shared" si="23"/>
        <v>367510267.73079753</v>
      </c>
      <c r="R114" s="61">
        <f t="shared" si="24"/>
        <v>106745382.16260071</v>
      </c>
      <c r="S114" s="61">
        <v>157061.826</v>
      </c>
      <c r="T114" s="61">
        <v>113092.129</v>
      </c>
      <c r="U114" s="61">
        <v>20523.751000000004</v>
      </c>
      <c r="V114" s="61">
        <v>0</v>
      </c>
      <c r="W114" s="61">
        <v>17380.026000000002</v>
      </c>
      <c r="X114" s="61"/>
      <c r="Y114" s="61"/>
      <c r="Z114" s="61"/>
      <c r="AA114" s="61">
        <v>43969.697</v>
      </c>
      <c r="AB114" s="61"/>
      <c r="AC114" s="61"/>
      <c r="AD114" s="61">
        <v>194784.117</v>
      </c>
      <c r="AE114" s="61">
        <v>354216.29599999997</v>
      </c>
      <c r="AF114" s="61">
        <v>297638.75947799999</v>
      </c>
      <c r="AG114" s="61">
        <v>4298.3990000000003</v>
      </c>
      <c r="AH114" s="61">
        <v>3854.2920000000004</v>
      </c>
      <c r="AI114" s="61"/>
      <c r="AJ114" s="61"/>
      <c r="AK114" s="61"/>
      <c r="AL114" s="61">
        <v>444.10700000000003</v>
      </c>
      <c r="AM114" s="61"/>
      <c r="AN114" s="61"/>
      <c r="AO114" s="61">
        <v>1416.5219999999999</v>
      </c>
      <c r="AP114" s="61">
        <v>109523.23699999999</v>
      </c>
      <c r="AQ114" s="61">
        <v>182400.601478</v>
      </c>
      <c r="AR114" s="61">
        <v>56576.12</v>
      </c>
      <c r="AS114" s="61">
        <v>39985.008999999998</v>
      </c>
      <c r="AT114" s="61">
        <v>27496.008999999998</v>
      </c>
      <c r="AU114" s="61">
        <v>12489</v>
      </c>
      <c r="AV114" s="61">
        <v>16591.111000000001</v>
      </c>
      <c r="AW114" s="65">
        <v>15.67</v>
      </c>
      <c r="AX114">
        <f t="shared" si="14"/>
        <v>156700</v>
      </c>
      <c r="AY114" s="78">
        <f t="shared" si="25"/>
        <v>1.567E-3</v>
      </c>
    </row>
    <row r="115" spans="1:55" x14ac:dyDescent="0.25">
      <c r="A115" s="57"/>
      <c r="B115" s="58" t="s">
        <v>102</v>
      </c>
      <c r="C115" s="55"/>
      <c r="D115" s="59" t="s">
        <v>111</v>
      </c>
      <c r="E115" s="59">
        <v>1000000</v>
      </c>
      <c r="F115" s="60">
        <v>1E-4</v>
      </c>
      <c r="G115" s="61">
        <v>12668.188999999998</v>
      </c>
      <c r="H115" s="61">
        <f t="shared" si="15"/>
        <v>1266818.8999999999</v>
      </c>
      <c r="I115" s="146">
        <f t="shared" si="16"/>
        <v>1.6540000000000001E-3</v>
      </c>
      <c r="J115" s="61">
        <f t="shared" si="17"/>
        <v>765912273.27690434</v>
      </c>
      <c r="K115" s="61">
        <f t="shared" si="18"/>
        <v>17640821.600000001</v>
      </c>
      <c r="L115" s="61">
        <f t="shared" si="19"/>
        <v>22881973.400000002</v>
      </c>
      <c r="M115" s="61">
        <f t="shared" si="20"/>
        <v>6999697</v>
      </c>
      <c r="N115" s="85">
        <v>5.6628999999999999E-2</v>
      </c>
      <c r="O115" s="80">
        <f t="shared" si="21"/>
        <v>2.9207649790743261E-2</v>
      </c>
      <c r="P115" s="61">
        <f t="shared" si="22"/>
        <v>311515682.77737558</v>
      </c>
      <c r="Q115" s="61">
        <f t="shared" si="23"/>
        <v>404068117.04250479</v>
      </c>
      <c r="R115" s="61">
        <f t="shared" si="24"/>
        <v>123606226.49172686</v>
      </c>
      <c r="S115" s="61">
        <v>176408.21600000001</v>
      </c>
      <c r="T115" s="61">
        <v>132442.38</v>
      </c>
      <c r="U115" s="61">
        <v>25837.101999999999</v>
      </c>
      <c r="V115" s="61">
        <v>0</v>
      </c>
      <c r="W115" s="61">
        <v>18690.421000000002</v>
      </c>
      <c r="X115" s="61"/>
      <c r="Y115" s="61"/>
      <c r="Z115" s="61"/>
      <c r="AA115" s="61">
        <v>43965.835999999996</v>
      </c>
      <c r="AB115" s="61"/>
      <c r="AC115" s="61"/>
      <c r="AD115" s="61">
        <v>228819.734</v>
      </c>
      <c r="AE115" s="61">
        <v>417896.13900000002</v>
      </c>
      <c r="AF115" s="61">
        <v>347897.77067200001</v>
      </c>
      <c r="AG115" s="61">
        <v>1249.6889999999999</v>
      </c>
      <c r="AH115" s="61">
        <v>911.56099999999992</v>
      </c>
      <c r="AI115" s="61"/>
      <c r="AJ115" s="61"/>
      <c r="AK115" s="61"/>
      <c r="AL115" s="61">
        <v>338.12799999999999</v>
      </c>
      <c r="AM115" s="61"/>
      <c r="AN115" s="61"/>
      <c r="AO115" s="61">
        <v>1398.328</v>
      </c>
      <c r="AP115" s="61">
        <v>122827.85400000001</v>
      </c>
      <c r="AQ115" s="61">
        <v>222421.89967199997</v>
      </c>
      <c r="AR115" s="61">
        <v>69996.97</v>
      </c>
      <c r="AS115" s="61">
        <v>57194.731</v>
      </c>
      <c r="AT115" s="61">
        <v>43026.731</v>
      </c>
      <c r="AU115" s="61">
        <v>14168</v>
      </c>
      <c r="AV115" s="61">
        <v>12802.239</v>
      </c>
      <c r="AW115" s="65">
        <v>16.54</v>
      </c>
      <c r="AX115">
        <f t="shared" si="14"/>
        <v>165400</v>
      </c>
      <c r="AY115" s="78">
        <f t="shared" si="25"/>
        <v>1.6540000000000001E-3</v>
      </c>
      <c r="BA115" s="68">
        <v>1988</v>
      </c>
      <c r="BB115" s="73">
        <v>1.1227000000000001E-3</v>
      </c>
      <c r="BC115">
        <f>+BB115*100000000</f>
        <v>112270.00000000001</v>
      </c>
    </row>
    <row r="116" spans="1:55" x14ac:dyDescent="0.25">
      <c r="A116" s="62">
        <v>1989.01</v>
      </c>
      <c r="B116" s="58" t="s">
        <v>108</v>
      </c>
      <c r="C116" s="55"/>
      <c r="D116" s="59" t="s">
        <v>111</v>
      </c>
      <c r="E116" s="59">
        <v>1000000</v>
      </c>
      <c r="F116" s="60">
        <v>1E-4</v>
      </c>
      <c r="G116" s="61">
        <v>10512</v>
      </c>
      <c r="H116" s="61">
        <f t="shared" si="15"/>
        <v>1051200</v>
      </c>
      <c r="I116" s="146">
        <f t="shared" si="16"/>
        <v>1.7510000000000004E-3</v>
      </c>
      <c r="J116" s="61">
        <f t="shared" si="17"/>
        <v>600342661.33637905</v>
      </c>
      <c r="K116" s="61">
        <f t="shared" si="18"/>
        <v>21307100</v>
      </c>
      <c r="L116" s="61">
        <f t="shared" si="19"/>
        <v>24536100</v>
      </c>
      <c r="M116" s="61">
        <f t="shared" si="20"/>
        <v>6898600</v>
      </c>
      <c r="N116" s="85">
        <v>6.1679999999999999E-2</v>
      </c>
      <c r="O116" s="80">
        <f t="shared" si="21"/>
        <v>2.8388456549935156E-2</v>
      </c>
      <c r="P116" s="61">
        <f t="shared" si="22"/>
        <v>345445849.54604411</v>
      </c>
      <c r="Q116" s="61">
        <f t="shared" si="23"/>
        <v>397796692.60700393</v>
      </c>
      <c r="R116" s="61">
        <f t="shared" si="24"/>
        <v>111845006.48508431</v>
      </c>
      <c r="S116" s="61">
        <v>213071</v>
      </c>
      <c r="T116" s="61">
        <v>152989</v>
      </c>
      <c r="U116" s="61">
        <v>29978</v>
      </c>
      <c r="V116" s="61">
        <v>0</v>
      </c>
      <c r="W116" s="61">
        <v>19493</v>
      </c>
      <c r="X116" s="61"/>
      <c r="Y116" s="61"/>
      <c r="Z116" s="61"/>
      <c r="AA116" s="61">
        <v>60082</v>
      </c>
      <c r="AB116" s="61"/>
      <c r="AC116" s="61"/>
      <c r="AD116" s="61">
        <v>245361</v>
      </c>
      <c r="AE116" s="61">
        <v>468944</v>
      </c>
      <c r="AF116" s="61">
        <v>399958</v>
      </c>
      <c r="AG116" s="61">
        <v>16546</v>
      </c>
      <c r="AH116" s="61">
        <v>16162</v>
      </c>
      <c r="AI116" s="61"/>
      <c r="AJ116" s="61"/>
      <c r="AK116" s="61"/>
      <c r="AL116" s="61">
        <v>384</v>
      </c>
      <c r="AM116" s="61"/>
      <c r="AN116" s="61"/>
      <c r="AO116" s="61">
        <v>1641.73</v>
      </c>
      <c r="AP116" s="61">
        <v>139654.51500000001</v>
      </c>
      <c r="AQ116" s="61">
        <v>242115.75499999995</v>
      </c>
      <c r="AR116" s="61">
        <v>68986</v>
      </c>
      <c r="AS116" s="61">
        <v>54383</v>
      </c>
      <c r="AT116" s="61">
        <v>40073</v>
      </c>
      <c r="AU116" s="61">
        <v>14310</v>
      </c>
      <c r="AV116" s="61">
        <v>14603</v>
      </c>
      <c r="AW116" s="65">
        <v>17.510000000000002</v>
      </c>
      <c r="AX116">
        <f t="shared" si="14"/>
        <v>175100.00000000003</v>
      </c>
      <c r="AY116" s="78">
        <f t="shared" si="25"/>
        <v>1.7510000000000004E-3</v>
      </c>
    </row>
    <row r="117" spans="1:55" x14ac:dyDescent="0.25">
      <c r="A117" s="57"/>
      <c r="B117" s="58" t="s">
        <v>104</v>
      </c>
      <c r="C117" s="55"/>
      <c r="D117" s="59" t="s">
        <v>111</v>
      </c>
      <c r="E117" s="59">
        <v>1000000</v>
      </c>
      <c r="F117" s="60">
        <v>1E-4</v>
      </c>
      <c r="G117" s="61">
        <v>-5157</v>
      </c>
      <c r="H117" s="61">
        <f t="shared" si="15"/>
        <v>-515700</v>
      </c>
      <c r="I117" s="146">
        <f t="shared" si="16"/>
        <v>2.82E-3</v>
      </c>
      <c r="J117" s="61">
        <f t="shared" si="17"/>
        <v>-182872340.42553192</v>
      </c>
      <c r="K117" s="61">
        <f t="shared" si="18"/>
        <v>23052900</v>
      </c>
      <c r="L117" s="61">
        <f t="shared" si="19"/>
        <v>27038700</v>
      </c>
      <c r="M117" s="61">
        <f t="shared" si="20"/>
        <v>7269100</v>
      </c>
      <c r="N117" s="85">
        <v>6.7596000000000003E-2</v>
      </c>
      <c r="O117" s="80">
        <f t="shared" si="21"/>
        <v>4.1718444878395169E-2</v>
      </c>
      <c r="P117" s="61">
        <f t="shared" si="22"/>
        <v>341039410.61601275</v>
      </c>
      <c r="Q117" s="61">
        <f t="shared" si="23"/>
        <v>400004438.13243383</v>
      </c>
      <c r="R117" s="61">
        <f t="shared" si="24"/>
        <v>107537428.25019231</v>
      </c>
      <c r="S117" s="61">
        <v>230529</v>
      </c>
      <c r="T117" s="61">
        <v>170447</v>
      </c>
      <c r="U117" s="61">
        <v>28825</v>
      </c>
      <c r="V117" s="61">
        <v>0</v>
      </c>
      <c r="W117" s="61">
        <v>21584</v>
      </c>
      <c r="X117" s="61"/>
      <c r="Y117" s="61"/>
      <c r="Z117" s="61"/>
      <c r="AA117" s="61">
        <v>60082</v>
      </c>
      <c r="AB117" s="61"/>
      <c r="AC117" s="61"/>
      <c r="AD117" s="61">
        <v>270387</v>
      </c>
      <c r="AE117" s="61">
        <v>495759</v>
      </c>
      <c r="AF117" s="61">
        <v>423068</v>
      </c>
      <c r="AG117" s="61">
        <v>5225</v>
      </c>
      <c r="AH117" s="61">
        <v>4853</v>
      </c>
      <c r="AI117" s="61"/>
      <c r="AJ117" s="61"/>
      <c r="AK117" s="61"/>
      <c r="AL117" s="61">
        <v>372</v>
      </c>
      <c r="AM117" s="61"/>
      <c r="AN117" s="61"/>
      <c r="AO117" s="61">
        <v>1952.4970000000001</v>
      </c>
      <c r="AP117" s="61">
        <v>155486.383</v>
      </c>
      <c r="AQ117" s="61">
        <v>260404.12</v>
      </c>
      <c r="AR117" s="61">
        <v>72691</v>
      </c>
      <c r="AS117" s="61">
        <v>57898</v>
      </c>
      <c r="AT117" s="61">
        <v>40364</v>
      </c>
      <c r="AU117" s="61">
        <v>17534</v>
      </c>
      <c r="AV117" s="61">
        <v>14793</v>
      </c>
      <c r="AW117" s="65">
        <v>28.2</v>
      </c>
      <c r="AX117">
        <f t="shared" si="14"/>
        <v>282000</v>
      </c>
      <c r="AY117" s="78">
        <f t="shared" si="25"/>
        <v>2.82E-3</v>
      </c>
    </row>
    <row r="118" spans="1:55" x14ac:dyDescent="0.25">
      <c r="A118" s="57"/>
      <c r="B118" s="58" t="s">
        <v>105</v>
      </c>
      <c r="C118" s="55"/>
      <c r="D118" s="59" t="s">
        <v>111</v>
      </c>
      <c r="E118" s="59">
        <v>1000000</v>
      </c>
      <c r="F118" s="60">
        <v>1E-4</v>
      </c>
      <c r="G118" s="61">
        <v>-12651</v>
      </c>
      <c r="H118" s="61">
        <f t="shared" si="15"/>
        <v>-1265100</v>
      </c>
      <c r="I118" s="146">
        <f t="shared" si="16"/>
        <v>4.9800000000000001E-3</v>
      </c>
      <c r="J118" s="61">
        <f t="shared" si="17"/>
        <v>-254036144.57831326</v>
      </c>
      <c r="K118" s="61">
        <f t="shared" si="18"/>
        <v>27723000</v>
      </c>
      <c r="L118" s="61">
        <f t="shared" si="19"/>
        <v>29091700</v>
      </c>
      <c r="M118" s="61">
        <f t="shared" si="20"/>
        <v>7534300</v>
      </c>
      <c r="N118" s="85">
        <v>7.9090999999999995E-2</v>
      </c>
      <c r="O118" s="80">
        <f t="shared" si="21"/>
        <v>6.2965444867304751E-2</v>
      </c>
      <c r="P118" s="61">
        <f t="shared" si="22"/>
        <v>350520286.75829113</v>
      </c>
      <c r="Q118" s="61">
        <f t="shared" si="23"/>
        <v>367825669.16589755</v>
      </c>
      <c r="R118" s="61">
        <f t="shared" si="24"/>
        <v>95261154.87223579</v>
      </c>
      <c r="S118" s="61">
        <v>277230</v>
      </c>
      <c r="T118" s="61">
        <v>217148</v>
      </c>
      <c r="U118" s="61">
        <v>33910</v>
      </c>
      <c r="V118" s="61">
        <v>0</v>
      </c>
      <c r="W118" s="61">
        <v>25362</v>
      </c>
      <c r="X118" s="61"/>
      <c r="Y118" s="61"/>
      <c r="Z118" s="61"/>
      <c r="AA118" s="61">
        <v>60082</v>
      </c>
      <c r="AB118" s="61"/>
      <c r="AC118" s="61"/>
      <c r="AD118" s="61">
        <v>290917</v>
      </c>
      <c r="AE118" s="61">
        <v>555496</v>
      </c>
      <c r="AF118" s="61">
        <v>480153</v>
      </c>
      <c r="AG118" s="61">
        <v>1180</v>
      </c>
      <c r="AH118" s="61">
        <v>565</v>
      </c>
      <c r="AI118" s="61"/>
      <c r="AJ118" s="61"/>
      <c r="AK118" s="61"/>
      <c r="AL118" s="61">
        <v>615</v>
      </c>
      <c r="AM118" s="61"/>
      <c r="AN118" s="61"/>
      <c r="AO118" s="61">
        <v>2049.9870000000001</v>
      </c>
      <c r="AP118" s="61">
        <v>178091.035</v>
      </c>
      <c r="AQ118" s="61">
        <v>298831.978</v>
      </c>
      <c r="AR118" s="61">
        <v>75343</v>
      </c>
      <c r="AS118" s="61">
        <v>64553</v>
      </c>
      <c r="AT118" s="61">
        <v>48220</v>
      </c>
      <c r="AU118" s="61">
        <v>16333</v>
      </c>
      <c r="AV118" s="61">
        <v>10790</v>
      </c>
      <c r="AW118" s="65">
        <v>49.8</v>
      </c>
      <c r="AX118">
        <f t="shared" si="14"/>
        <v>498000</v>
      </c>
      <c r="AY118" s="78">
        <f t="shared" si="25"/>
        <v>4.9800000000000001E-3</v>
      </c>
    </row>
    <row r="119" spans="1:55" x14ac:dyDescent="0.25">
      <c r="A119" s="57"/>
      <c r="B119" s="58" t="s">
        <v>106</v>
      </c>
      <c r="C119" s="55"/>
      <c r="D119" s="59" t="s">
        <v>111</v>
      </c>
      <c r="E119" s="59">
        <v>1000000</v>
      </c>
      <c r="F119" s="60">
        <v>1E-4</v>
      </c>
      <c r="G119" s="61">
        <v>-3323</v>
      </c>
      <c r="H119" s="61">
        <f t="shared" si="15"/>
        <v>-332300</v>
      </c>
      <c r="I119" s="146">
        <f t="shared" si="16"/>
        <v>7.7000000000000002E-3</v>
      </c>
      <c r="J119" s="61">
        <f t="shared" si="17"/>
        <v>-43155844.155844152</v>
      </c>
      <c r="K119" s="61">
        <f t="shared" si="18"/>
        <v>31467500</v>
      </c>
      <c r="L119" s="61">
        <f t="shared" si="19"/>
        <v>37067900</v>
      </c>
      <c r="M119" s="61">
        <f t="shared" si="20"/>
        <v>9583900</v>
      </c>
      <c r="N119" s="85">
        <v>0.10548399999999999</v>
      </c>
      <c r="O119" s="80">
        <f t="shared" si="21"/>
        <v>7.2996852603238419E-2</v>
      </c>
      <c r="P119" s="61">
        <f t="shared" si="22"/>
        <v>298315384.32368892</v>
      </c>
      <c r="Q119" s="61">
        <f t="shared" si="23"/>
        <v>351407796.44306248</v>
      </c>
      <c r="R119" s="61">
        <f t="shared" si="24"/>
        <v>90856433.203139812</v>
      </c>
      <c r="S119" s="61">
        <v>314675</v>
      </c>
      <c r="T119" s="61">
        <v>246533</v>
      </c>
      <c r="U119" s="61">
        <v>48273</v>
      </c>
      <c r="V119" s="61">
        <v>0</v>
      </c>
      <c r="W119" s="61">
        <v>31789</v>
      </c>
      <c r="X119" s="61"/>
      <c r="Y119" s="61"/>
      <c r="Z119" s="61"/>
      <c r="AA119" s="61">
        <v>68142</v>
      </c>
      <c r="AB119" s="61"/>
      <c r="AC119" s="61"/>
      <c r="AD119" s="61">
        <v>370679</v>
      </c>
      <c r="AE119" s="61">
        <v>682031</v>
      </c>
      <c r="AF119" s="61">
        <v>586192</v>
      </c>
      <c r="AG119" s="61">
        <v>8172</v>
      </c>
      <c r="AH119" s="61">
        <v>8033</v>
      </c>
      <c r="AI119" s="61"/>
      <c r="AJ119" s="61"/>
      <c r="AK119" s="61"/>
      <c r="AL119" s="61">
        <v>139</v>
      </c>
      <c r="AM119" s="61"/>
      <c r="AN119" s="61"/>
      <c r="AO119" s="61">
        <v>2275.056</v>
      </c>
      <c r="AP119" s="61">
        <v>194731.86199999999</v>
      </c>
      <c r="AQ119" s="61">
        <v>381013.08200000005</v>
      </c>
      <c r="AR119" s="61">
        <v>95839</v>
      </c>
      <c r="AS119" s="61">
        <v>75897</v>
      </c>
      <c r="AT119" s="61">
        <v>56877</v>
      </c>
      <c r="AU119" s="61">
        <v>19020</v>
      </c>
      <c r="AV119" s="61">
        <v>19942</v>
      </c>
      <c r="AW119" s="65">
        <v>77</v>
      </c>
      <c r="AX119">
        <f t="shared" si="14"/>
        <v>770000</v>
      </c>
      <c r="AY119" s="78">
        <f t="shared" si="25"/>
        <v>7.7000000000000002E-3</v>
      </c>
    </row>
    <row r="120" spans="1:55" x14ac:dyDescent="0.25">
      <c r="A120" s="57"/>
      <c r="B120" s="58" t="s">
        <v>107</v>
      </c>
      <c r="C120" s="55"/>
      <c r="D120" s="59" t="s">
        <v>111</v>
      </c>
      <c r="E120" s="59">
        <v>1000000</v>
      </c>
      <c r="F120" s="60">
        <v>1E-4</v>
      </c>
      <c r="G120" s="61">
        <v>123554</v>
      </c>
      <c r="H120" s="61">
        <f t="shared" si="15"/>
        <v>12355400</v>
      </c>
      <c r="I120" s="146">
        <f t="shared" si="16"/>
        <v>1.77E-2</v>
      </c>
      <c r="J120" s="61">
        <f t="shared" si="17"/>
        <v>698045197.74011302</v>
      </c>
      <c r="K120" s="61">
        <f t="shared" si="18"/>
        <v>50648400</v>
      </c>
      <c r="L120" s="61">
        <f t="shared" si="19"/>
        <v>62459900</v>
      </c>
      <c r="M120" s="61">
        <f t="shared" si="20"/>
        <v>19970800</v>
      </c>
      <c r="N120" s="85">
        <v>0.18825600000000001</v>
      </c>
      <c r="O120" s="80">
        <f t="shared" si="21"/>
        <v>9.4020907700152978E-2</v>
      </c>
      <c r="P120" s="61">
        <f t="shared" si="22"/>
        <v>269040030.59663439</v>
      </c>
      <c r="Q120" s="61">
        <f t="shared" si="23"/>
        <v>331781722.76049632</v>
      </c>
      <c r="R120" s="61">
        <f t="shared" si="24"/>
        <v>106083205.84735678</v>
      </c>
      <c r="S120" s="61">
        <v>506484</v>
      </c>
      <c r="T120" s="61">
        <v>438342</v>
      </c>
      <c r="U120" s="61">
        <v>173788</v>
      </c>
      <c r="V120" s="61">
        <v>0</v>
      </c>
      <c r="W120" s="61">
        <v>77475</v>
      </c>
      <c r="X120" s="61"/>
      <c r="Y120" s="61"/>
      <c r="Z120" s="61"/>
      <c r="AA120" s="61">
        <v>68142</v>
      </c>
      <c r="AB120" s="61"/>
      <c r="AC120" s="61"/>
      <c r="AD120" s="61">
        <v>624599</v>
      </c>
      <c r="AE120" s="61">
        <v>1254637</v>
      </c>
      <c r="AF120" s="61">
        <v>1054929</v>
      </c>
      <c r="AG120" s="61">
        <v>69664</v>
      </c>
      <c r="AH120" s="61">
        <v>66873</v>
      </c>
      <c r="AI120" s="61"/>
      <c r="AJ120" s="61"/>
      <c r="AK120" s="61"/>
      <c r="AL120" s="61">
        <v>2791</v>
      </c>
      <c r="AM120" s="61"/>
      <c r="AN120" s="61"/>
      <c r="AO120" s="61">
        <v>6320.1620000000003</v>
      </c>
      <c r="AP120" s="61">
        <v>251919.66</v>
      </c>
      <c r="AQ120" s="61">
        <v>727025.17800000007</v>
      </c>
      <c r="AR120" s="61">
        <v>199708</v>
      </c>
      <c r="AS120" s="61">
        <v>135743</v>
      </c>
      <c r="AT120" s="61">
        <v>93234</v>
      </c>
      <c r="AU120" s="61">
        <v>42509</v>
      </c>
      <c r="AV120" s="61">
        <v>63965</v>
      </c>
      <c r="AW120" s="65">
        <v>177</v>
      </c>
      <c r="AX120">
        <f t="shared" si="14"/>
        <v>1770000</v>
      </c>
      <c r="AY120" s="78">
        <f t="shared" si="25"/>
        <v>1.77E-2</v>
      </c>
    </row>
    <row r="121" spans="1:55" x14ac:dyDescent="0.25">
      <c r="A121" s="57"/>
      <c r="B121" s="58" t="s">
        <v>96</v>
      </c>
      <c r="C121" s="55"/>
      <c r="D121" s="59" t="s">
        <v>111</v>
      </c>
      <c r="E121" s="59">
        <v>1000000</v>
      </c>
      <c r="F121" s="60">
        <v>1E-4</v>
      </c>
      <c r="G121" s="61">
        <v>146295</v>
      </c>
      <c r="H121" s="61">
        <f t="shared" si="15"/>
        <v>14629500</v>
      </c>
      <c r="I121" s="146">
        <f t="shared" si="16"/>
        <v>2.6200000000000001E-2</v>
      </c>
      <c r="J121" s="61">
        <f t="shared" si="17"/>
        <v>558377862.59541988</v>
      </c>
      <c r="K121" s="61">
        <f t="shared" si="18"/>
        <v>115107500</v>
      </c>
      <c r="L121" s="61">
        <f t="shared" si="19"/>
        <v>121929700</v>
      </c>
      <c r="M121" s="61">
        <f t="shared" si="20"/>
        <v>36777900</v>
      </c>
      <c r="N121" s="85">
        <v>0.40375699999999998</v>
      </c>
      <c r="O121" s="80">
        <f t="shared" si="21"/>
        <v>6.4890515830066109E-2</v>
      </c>
      <c r="P121" s="61">
        <f t="shared" si="22"/>
        <v>285091032.4774555</v>
      </c>
      <c r="Q121" s="61">
        <f t="shared" si="23"/>
        <v>301987829.31317604</v>
      </c>
      <c r="R121" s="61">
        <f t="shared" si="24"/>
        <v>91089194.738419399</v>
      </c>
      <c r="S121" s="61">
        <v>1151075</v>
      </c>
      <c r="T121" s="61">
        <v>1082933</v>
      </c>
      <c r="U121" s="61">
        <v>466508</v>
      </c>
      <c r="V121" s="61">
        <v>0</v>
      </c>
      <c r="W121" s="61">
        <v>105302</v>
      </c>
      <c r="X121" s="61"/>
      <c r="Y121" s="61"/>
      <c r="Z121" s="61"/>
      <c r="AA121" s="61">
        <v>68142</v>
      </c>
      <c r="AB121" s="61"/>
      <c r="AC121" s="61"/>
      <c r="AD121" s="61">
        <v>1219297</v>
      </c>
      <c r="AE121" s="61">
        <v>2516667</v>
      </c>
      <c r="AF121" s="61">
        <v>2148888</v>
      </c>
      <c r="AG121" s="61">
        <v>63975</v>
      </c>
      <c r="AH121" s="61">
        <v>62546</v>
      </c>
      <c r="AI121" s="61"/>
      <c r="AJ121" s="61"/>
      <c r="AK121" s="61"/>
      <c r="AL121" s="61">
        <v>1429</v>
      </c>
      <c r="AM121" s="61"/>
      <c r="AN121" s="61"/>
      <c r="AO121" s="61">
        <v>9278.9570000000003</v>
      </c>
      <c r="AP121" s="61">
        <v>438428.20699999999</v>
      </c>
      <c r="AQ121" s="61">
        <v>1637205.8360000001</v>
      </c>
      <c r="AR121" s="61">
        <v>367779</v>
      </c>
      <c r="AS121" s="61">
        <v>271915</v>
      </c>
      <c r="AT121" s="61">
        <v>193215</v>
      </c>
      <c r="AU121" s="61">
        <v>78700</v>
      </c>
      <c r="AV121" s="61">
        <v>95864</v>
      </c>
      <c r="AW121" s="65">
        <v>262</v>
      </c>
      <c r="AX121">
        <f t="shared" si="14"/>
        <v>2620000</v>
      </c>
      <c r="AY121" s="78">
        <f t="shared" si="25"/>
        <v>2.6200000000000001E-2</v>
      </c>
    </row>
    <row r="122" spans="1:55" x14ac:dyDescent="0.25">
      <c r="A122" s="57"/>
      <c r="B122" s="58" t="s">
        <v>97</v>
      </c>
      <c r="C122" s="55"/>
      <c r="D122" s="59" t="s">
        <v>111</v>
      </c>
      <c r="E122" s="59">
        <v>1000000</v>
      </c>
      <c r="F122" s="60">
        <v>1E-4</v>
      </c>
      <c r="G122" s="61">
        <v>891552</v>
      </c>
      <c r="H122" s="61">
        <f t="shared" si="15"/>
        <v>89155200</v>
      </c>
      <c r="I122" s="146">
        <f t="shared" si="16"/>
        <v>6.5500000000000003E-2</v>
      </c>
      <c r="J122" s="61">
        <f t="shared" si="17"/>
        <v>1361148091.6030533</v>
      </c>
      <c r="K122" s="61">
        <f t="shared" si="18"/>
        <v>221759800</v>
      </c>
      <c r="L122" s="61">
        <f t="shared" si="19"/>
        <v>243793100</v>
      </c>
      <c r="M122" s="61">
        <f t="shared" si="20"/>
        <v>89975600</v>
      </c>
      <c r="N122" s="85">
        <v>1.1976800000000001</v>
      </c>
      <c r="O122" s="80">
        <f t="shared" si="21"/>
        <v>5.468906552668492E-2</v>
      </c>
      <c r="P122" s="61">
        <f t="shared" si="22"/>
        <v>185157805.08984035</v>
      </c>
      <c r="Q122" s="61">
        <f t="shared" si="23"/>
        <v>203554455.28020838</v>
      </c>
      <c r="R122" s="61">
        <f t="shared" si="24"/>
        <v>75124908.155767813</v>
      </c>
      <c r="S122" s="61">
        <v>2217598</v>
      </c>
      <c r="T122" s="61">
        <v>2018456</v>
      </c>
      <c r="U122" s="61">
        <v>703741</v>
      </c>
      <c r="V122" s="61">
        <v>0</v>
      </c>
      <c r="W122" s="61">
        <v>143614</v>
      </c>
      <c r="X122" s="61"/>
      <c r="Y122" s="61"/>
      <c r="Z122" s="61"/>
      <c r="AA122" s="61">
        <v>199142</v>
      </c>
      <c r="AB122" s="61"/>
      <c r="AC122" s="61"/>
      <c r="AD122" s="61">
        <v>2437931</v>
      </c>
      <c r="AE122" s="61">
        <v>5547081</v>
      </c>
      <c r="AF122" s="61">
        <v>4647325</v>
      </c>
      <c r="AG122" s="61">
        <v>161816</v>
      </c>
      <c r="AH122" s="61">
        <v>153550</v>
      </c>
      <c r="AI122" s="61"/>
      <c r="AJ122" s="61"/>
      <c r="AK122" s="61"/>
      <c r="AL122" s="61">
        <v>8266</v>
      </c>
      <c r="AM122" s="61"/>
      <c r="AN122" s="61"/>
      <c r="AO122" s="61">
        <v>11378.746999999999</v>
      </c>
      <c r="AP122" s="61">
        <v>943460.86899999995</v>
      </c>
      <c r="AQ122" s="61">
        <v>3530669.3840000001</v>
      </c>
      <c r="AR122" s="61">
        <v>899756</v>
      </c>
      <c r="AS122" s="61">
        <v>586579</v>
      </c>
      <c r="AT122" s="61">
        <v>386521</v>
      </c>
      <c r="AU122" s="61">
        <v>200058</v>
      </c>
      <c r="AV122" s="61">
        <v>313177</v>
      </c>
      <c r="AW122" s="65">
        <v>655</v>
      </c>
      <c r="AX122">
        <f t="shared" si="14"/>
        <v>6550000</v>
      </c>
      <c r="AY122" s="78">
        <f t="shared" si="25"/>
        <v>6.5500000000000003E-2</v>
      </c>
    </row>
    <row r="123" spans="1:55" x14ac:dyDescent="0.25">
      <c r="A123" s="57"/>
      <c r="B123" s="58" t="s">
        <v>98</v>
      </c>
      <c r="C123" s="55"/>
      <c r="D123" s="59" t="s">
        <v>111</v>
      </c>
      <c r="E123" s="59">
        <v>1000000</v>
      </c>
      <c r="F123" s="60">
        <v>1E-4</v>
      </c>
      <c r="G123" s="61">
        <v>1208516</v>
      </c>
      <c r="H123" s="61">
        <f t="shared" si="15"/>
        <v>120851600</v>
      </c>
      <c r="I123" s="146">
        <f t="shared" si="16"/>
        <v>6.5500000000000003E-2</v>
      </c>
      <c r="J123" s="61">
        <f t="shared" si="17"/>
        <v>1845062595.4198472</v>
      </c>
      <c r="K123" s="61">
        <f t="shared" si="18"/>
        <v>292547000</v>
      </c>
      <c r="L123" s="61">
        <f t="shared" si="19"/>
        <v>624075100</v>
      </c>
      <c r="M123" s="61">
        <f t="shared" si="20"/>
        <v>116779300</v>
      </c>
      <c r="N123" s="85">
        <v>1.651138</v>
      </c>
      <c r="O123" s="80">
        <f t="shared" si="21"/>
        <v>3.9669609687379252E-2</v>
      </c>
      <c r="P123" s="61">
        <f t="shared" si="22"/>
        <v>177179012.29333949</v>
      </c>
      <c r="Q123" s="61">
        <f t="shared" si="23"/>
        <v>377966650.87957519</v>
      </c>
      <c r="R123" s="61">
        <f t="shared" si="24"/>
        <v>70726553.443746075</v>
      </c>
      <c r="S123" s="61">
        <v>2925470</v>
      </c>
      <c r="T123" s="61">
        <v>2727377</v>
      </c>
      <c r="U123" s="61">
        <v>933226</v>
      </c>
      <c r="V123" s="61">
        <v>0</v>
      </c>
      <c r="W123" s="61">
        <v>262131</v>
      </c>
      <c r="X123" s="61"/>
      <c r="Y123" s="61"/>
      <c r="Z123" s="61"/>
      <c r="AA123" s="61">
        <v>198093</v>
      </c>
      <c r="AB123" s="61"/>
      <c r="AC123" s="61"/>
      <c r="AD123" s="61">
        <v>6240751</v>
      </c>
      <c r="AE123" s="61">
        <v>10374737</v>
      </c>
      <c r="AF123" s="61">
        <v>9206944</v>
      </c>
      <c r="AG123" s="61">
        <v>84757</v>
      </c>
      <c r="AH123" s="61">
        <v>79781</v>
      </c>
      <c r="AI123" s="61"/>
      <c r="AJ123" s="61"/>
      <c r="AK123" s="61"/>
      <c r="AL123" s="61">
        <v>4976</v>
      </c>
      <c r="AM123" s="61"/>
      <c r="AN123" s="61"/>
      <c r="AO123" s="61">
        <v>11139.004000000001</v>
      </c>
      <c r="AP123" s="61">
        <v>1543784.656</v>
      </c>
      <c r="AQ123" s="61">
        <v>7567263.3399999999</v>
      </c>
      <c r="AR123" s="61">
        <v>1167793</v>
      </c>
      <c r="AS123" s="61">
        <v>856100</v>
      </c>
      <c r="AT123" s="61">
        <v>601351</v>
      </c>
      <c r="AU123" s="61">
        <v>254749</v>
      </c>
      <c r="AV123" s="61">
        <v>311693</v>
      </c>
      <c r="AW123" s="65">
        <v>655</v>
      </c>
      <c r="AX123">
        <f t="shared" si="14"/>
        <v>6550000</v>
      </c>
      <c r="AY123" s="78">
        <f t="shared" si="25"/>
        <v>6.5500000000000003E-2</v>
      </c>
    </row>
    <row r="124" spans="1:55" x14ac:dyDescent="0.25">
      <c r="A124" s="57"/>
      <c r="B124" s="58" t="s">
        <v>99</v>
      </c>
      <c r="C124" s="55"/>
      <c r="D124" s="59" t="s">
        <v>111</v>
      </c>
      <c r="E124" s="59">
        <v>1000000</v>
      </c>
      <c r="F124" s="60">
        <v>1E-4</v>
      </c>
      <c r="G124" s="61">
        <v>1561642</v>
      </c>
      <c r="H124" s="61">
        <f t="shared" si="15"/>
        <v>156164200</v>
      </c>
      <c r="I124" s="146">
        <f t="shared" si="16"/>
        <v>6.5500000000000003E-2</v>
      </c>
      <c r="J124" s="61">
        <f t="shared" si="17"/>
        <v>2384186259.5419846</v>
      </c>
      <c r="K124" s="61">
        <f t="shared" si="18"/>
        <v>341013900</v>
      </c>
      <c r="L124" s="61">
        <f t="shared" si="19"/>
        <v>767020700</v>
      </c>
      <c r="M124" s="61">
        <f t="shared" si="20"/>
        <v>167419600</v>
      </c>
      <c r="N124" s="85">
        <v>1.8056080000000001</v>
      </c>
      <c r="O124" s="80">
        <f t="shared" si="21"/>
        <v>3.6275869402439508E-2</v>
      </c>
      <c r="P124" s="61">
        <f t="shared" si="22"/>
        <v>188863751.15750483</v>
      </c>
      <c r="Q124" s="61">
        <f t="shared" si="23"/>
        <v>424799125.83462191</v>
      </c>
      <c r="R124" s="61">
        <f t="shared" si="24"/>
        <v>92722008.32074292</v>
      </c>
      <c r="S124" s="61">
        <v>3410139</v>
      </c>
      <c r="T124" s="61">
        <v>3081046</v>
      </c>
      <c r="U124" s="61">
        <v>1019117</v>
      </c>
      <c r="V124" s="61">
        <v>0</v>
      </c>
      <c r="W124" s="61">
        <v>267335</v>
      </c>
      <c r="X124" s="61"/>
      <c r="Y124" s="61"/>
      <c r="Z124" s="61"/>
      <c r="AA124" s="61">
        <v>329093</v>
      </c>
      <c r="AB124" s="61"/>
      <c r="AC124" s="61"/>
      <c r="AD124" s="61">
        <v>7670207</v>
      </c>
      <c r="AE124" s="61">
        <v>12641988</v>
      </c>
      <c r="AF124" s="61">
        <v>10967792</v>
      </c>
      <c r="AG124" s="61">
        <v>177658</v>
      </c>
      <c r="AH124" s="61">
        <v>163021</v>
      </c>
      <c r="AI124" s="61"/>
      <c r="AJ124" s="61"/>
      <c r="AK124" s="61"/>
      <c r="AL124" s="61">
        <v>14637</v>
      </c>
      <c r="AM124" s="61"/>
      <c r="AN124" s="61"/>
      <c r="AO124" s="61">
        <v>11507.609</v>
      </c>
      <c r="AP124" s="61">
        <v>2024138.8119999999</v>
      </c>
      <c r="AQ124" s="61">
        <v>8754487.5789999999</v>
      </c>
      <c r="AR124" s="61">
        <v>1674196</v>
      </c>
      <c r="AS124" s="61">
        <v>1136662</v>
      </c>
      <c r="AT124" s="61">
        <v>822030</v>
      </c>
      <c r="AU124" s="61">
        <v>314632</v>
      </c>
      <c r="AV124" s="61">
        <v>537534</v>
      </c>
      <c r="AW124" s="65">
        <v>655</v>
      </c>
      <c r="AX124">
        <f t="shared" si="14"/>
        <v>6550000</v>
      </c>
      <c r="AY124" s="78">
        <f t="shared" si="25"/>
        <v>6.5500000000000003E-2</v>
      </c>
    </row>
    <row r="125" spans="1:55" x14ac:dyDescent="0.25">
      <c r="A125" s="57"/>
      <c r="B125" s="58" t="s">
        <v>100</v>
      </c>
      <c r="C125" s="55"/>
      <c r="D125" s="59" t="s">
        <v>111</v>
      </c>
      <c r="E125" s="59">
        <v>1000000</v>
      </c>
      <c r="F125" s="60">
        <v>1E-4</v>
      </c>
      <c r="G125" s="61">
        <v>1669118</v>
      </c>
      <c r="H125" s="61">
        <f t="shared" si="15"/>
        <v>166911800</v>
      </c>
      <c r="I125" s="146">
        <f t="shared" si="16"/>
        <v>6.5500000000000003E-2</v>
      </c>
      <c r="J125" s="61">
        <f t="shared" si="17"/>
        <v>2548271755.7251906</v>
      </c>
      <c r="K125" s="61">
        <f t="shared" si="18"/>
        <v>365499200</v>
      </c>
      <c r="L125" s="61">
        <f t="shared" si="19"/>
        <v>815350700</v>
      </c>
      <c r="M125" s="61">
        <f t="shared" si="20"/>
        <v>217020700</v>
      </c>
      <c r="N125" s="85">
        <v>1.9066369999999999</v>
      </c>
      <c r="O125" s="80">
        <f t="shared" si="21"/>
        <v>3.4353681377210246E-2</v>
      </c>
      <c r="P125" s="61">
        <f t="shared" si="22"/>
        <v>191698367.3347365</v>
      </c>
      <c r="Q125" s="61">
        <f t="shared" si="23"/>
        <v>427638139.82420355</v>
      </c>
      <c r="R125" s="61">
        <f t="shared" si="24"/>
        <v>113823816.48945238</v>
      </c>
      <c r="S125" s="61">
        <v>3654992</v>
      </c>
      <c r="T125" s="61">
        <v>3293149</v>
      </c>
      <c r="U125" s="61">
        <v>1092304</v>
      </c>
      <c r="V125" s="61">
        <v>0</v>
      </c>
      <c r="W125" s="61">
        <v>267295</v>
      </c>
      <c r="X125" s="61"/>
      <c r="Y125" s="61"/>
      <c r="Z125" s="61"/>
      <c r="AA125" s="61">
        <v>361843</v>
      </c>
      <c r="AB125" s="61"/>
      <c r="AC125" s="61"/>
      <c r="AD125" s="61">
        <v>8153507</v>
      </c>
      <c r="AE125" s="61">
        <v>13477617</v>
      </c>
      <c r="AF125" s="61">
        <v>11307410</v>
      </c>
      <c r="AG125" s="61">
        <v>74051</v>
      </c>
      <c r="AH125" s="61">
        <v>62522</v>
      </c>
      <c r="AI125" s="61"/>
      <c r="AJ125" s="61"/>
      <c r="AK125" s="61"/>
      <c r="AL125" s="61">
        <v>11529</v>
      </c>
      <c r="AM125" s="61"/>
      <c r="AN125" s="61"/>
      <c r="AO125" s="61">
        <v>13799.562</v>
      </c>
      <c r="AP125" s="61">
        <v>1921252.243</v>
      </c>
      <c r="AQ125" s="61">
        <v>9298307.1950000003</v>
      </c>
      <c r="AR125" s="61">
        <v>2170207</v>
      </c>
      <c r="AS125" s="61">
        <v>1382950</v>
      </c>
      <c r="AT125" s="61">
        <v>944797</v>
      </c>
      <c r="AU125" s="61">
        <v>438153</v>
      </c>
      <c r="AV125" s="61">
        <v>787257</v>
      </c>
      <c r="AW125" s="65">
        <v>655</v>
      </c>
      <c r="AX125">
        <f t="shared" si="14"/>
        <v>6550000</v>
      </c>
      <c r="AY125" s="78">
        <f t="shared" si="25"/>
        <v>6.5500000000000003E-2</v>
      </c>
    </row>
    <row r="126" spans="1:55" x14ac:dyDescent="0.25">
      <c r="A126" s="57"/>
      <c r="B126" s="58" t="s">
        <v>101</v>
      </c>
      <c r="C126" s="55"/>
      <c r="D126" s="59" t="s">
        <v>111</v>
      </c>
      <c r="E126" s="59">
        <v>1000000</v>
      </c>
      <c r="F126" s="60">
        <v>1E-4</v>
      </c>
      <c r="G126" s="61">
        <v>1389623</v>
      </c>
      <c r="H126" s="61">
        <f t="shared" si="15"/>
        <v>138962300</v>
      </c>
      <c r="I126" s="146">
        <f t="shared" si="16"/>
        <v>6.5500000000000003E-2</v>
      </c>
      <c r="J126" s="61">
        <f t="shared" si="17"/>
        <v>2121561832.0610685</v>
      </c>
      <c r="K126" s="61">
        <f t="shared" si="18"/>
        <v>410765400</v>
      </c>
      <c r="L126" s="61">
        <f t="shared" si="19"/>
        <v>839296000</v>
      </c>
      <c r="M126" s="61">
        <f t="shared" si="20"/>
        <v>271372400</v>
      </c>
      <c r="N126" s="85">
        <v>2.0309309999999998</v>
      </c>
      <c r="O126" s="80">
        <f t="shared" si="21"/>
        <v>3.2251218776019476E-2</v>
      </c>
      <c r="P126" s="61">
        <f t="shared" si="22"/>
        <v>202254729.48120838</v>
      </c>
      <c r="Q126" s="61">
        <f t="shared" si="23"/>
        <v>413256777.31050444</v>
      </c>
      <c r="R126" s="61">
        <f t="shared" si="24"/>
        <v>133619704.46066362</v>
      </c>
      <c r="S126" s="61">
        <v>4107654</v>
      </c>
      <c r="T126" s="61">
        <v>3766667</v>
      </c>
      <c r="U126" s="61">
        <v>1428532</v>
      </c>
      <c r="V126" s="61">
        <v>0</v>
      </c>
      <c r="W126" s="61">
        <v>494535</v>
      </c>
      <c r="X126" s="61"/>
      <c r="Y126" s="61"/>
      <c r="Z126" s="61"/>
      <c r="AA126" s="61">
        <v>340987</v>
      </c>
      <c r="AB126" s="61"/>
      <c r="AC126" s="61"/>
      <c r="AD126" s="61">
        <v>8392960</v>
      </c>
      <c r="AE126" s="61">
        <v>13890237</v>
      </c>
      <c r="AF126" s="61">
        <v>11176513</v>
      </c>
      <c r="AG126" s="61">
        <v>126765</v>
      </c>
      <c r="AH126" s="61">
        <v>97157</v>
      </c>
      <c r="AI126" s="61"/>
      <c r="AJ126" s="61"/>
      <c r="AK126" s="61"/>
      <c r="AL126" s="61">
        <v>29608</v>
      </c>
      <c r="AM126" s="61"/>
      <c r="AN126" s="61"/>
      <c r="AO126" s="61">
        <v>20774.669000000002</v>
      </c>
      <c r="AP126" s="61">
        <v>2227046.2859999998</v>
      </c>
      <c r="AQ126" s="61">
        <v>8801927.0449999999</v>
      </c>
      <c r="AR126" s="61">
        <v>2713724</v>
      </c>
      <c r="AS126" s="61">
        <v>1738835</v>
      </c>
      <c r="AT126" s="61">
        <v>1182733</v>
      </c>
      <c r="AU126" s="61">
        <v>556102</v>
      </c>
      <c r="AV126" s="61">
        <v>974889</v>
      </c>
      <c r="AW126" s="65">
        <v>655</v>
      </c>
      <c r="AX126">
        <f t="shared" si="14"/>
        <v>6550000</v>
      </c>
      <c r="AY126" s="78">
        <f t="shared" si="25"/>
        <v>6.5500000000000003E-2</v>
      </c>
    </row>
    <row r="127" spans="1:55" x14ac:dyDescent="0.25">
      <c r="A127" s="57"/>
      <c r="B127" s="58" t="s">
        <v>102</v>
      </c>
      <c r="C127" s="55"/>
      <c r="D127" s="59" t="s">
        <v>111</v>
      </c>
      <c r="E127" s="59">
        <v>1000000</v>
      </c>
      <c r="F127" s="60">
        <v>1E-4</v>
      </c>
      <c r="G127" s="61">
        <v>1438651</v>
      </c>
      <c r="H127" s="61">
        <f t="shared" si="15"/>
        <v>143865100</v>
      </c>
      <c r="I127" s="146">
        <f t="shared" si="16"/>
        <v>0.18</v>
      </c>
      <c r="J127" s="61">
        <f t="shared" si="17"/>
        <v>799250555.55555558</v>
      </c>
      <c r="K127" s="61">
        <f t="shared" si="18"/>
        <v>474846100</v>
      </c>
      <c r="L127" s="61">
        <f t="shared" si="19"/>
        <v>939413200</v>
      </c>
      <c r="M127" s="61">
        <f t="shared" si="20"/>
        <v>368829700</v>
      </c>
      <c r="N127" s="85">
        <v>2.8447849999999999</v>
      </c>
      <c r="O127" s="80">
        <f t="shared" si="21"/>
        <v>6.3273674460460103E-2</v>
      </c>
      <c r="P127" s="61">
        <f t="shared" si="22"/>
        <v>166918097.50121716</v>
      </c>
      <c r="Q127" s="61">
        <f t="shared" si="23"/>
        <v>330222916.67032838</v>
      </c>
      <c r="R127" s="61">
        <f t="shared" si="24"/>
        <v>129651168.71749535</v>
      </c>
      <c r="S127" s="61">
        <v>4748461</v>
      </c>
      <c r="T127" s="61">
        <v>4309224</v>
      </c>
      <c r="U127" s="61">
        <v>1727942</v>
      </c>
      <c r="V127" s="61">
        <v>0</v>
      </c>
      <c r="W127" s="61">
        <v>494535</v>
      </c>
      <c r="X127" s="61"/>
      <c r="Y127" s="61"/>
      <c r="Z127" s="61"/>
      <c r="AA127" s="61">
        <v>439237</v>
      </c>
      <c r="AB127" s="61"/>
      <c r="AC127" s="61"/>
      <c r="AD127" s="61">
        <v>9394132</v>
      </c>
      <c r="AE127" s="61">
        <v>15581244</v>
      </c>
      <c r="AF127" s="61">
        <v>11892947</v>
      </c>
      <c r="AG127" s="61">
        <v>105554</v>
      </c>
      <c r="AH127" s="61">
        <v>73900</v>
      </c>
      <c r="AI127" s="61"/>
      <c r="AJ127" s="61"/>
      <c r="AK127" s="61"/>
      <c r="AL127" s="61">
        <v>31654</v>
      </c>
      <c r="AM127" s="61"/>
      <c r="AN127" s="61"/>
      <c r="AO127" s="61">
        <v>20668.219000000001</v>
      </c>
      <c r="AP127" s="61">
        <v>2877041.338</v>
      </c>
      <c r="AQ127" s="61">
        <v>8889683.443</v>
      </c>
      <c r="AR127" s="61">
        <v>3688297</v>
      </c>
      <c r="AS127" s="61">
        <v>2638991</v>
      </c>
      <c r="AT127" s="61">
        <v>1817373</v>
      </c>
      <c r="AU127" s="61">
        <v>821618</v>
      </c>
      <c r="AV127" s="61">
        <v>1049306</v>
      </c>
      <c r="AW127" s="65">
        <v>1800</v>
      </c>
      <c r="AX127">
        <f t="shared" si="14"/>
        <v>18000000</v>
      </c>
      <c r="AY127" s="78">
        <f t="shared" si="25"/>
        <v>0.18</v>
      </c>
      <c r="BA127" s="68">
        <v>1989</v>
      </c>
      <c r="BB127" s="74">
        <v>5.4698999999999998E-2</v>
      </c>
      <c r="BC127">
        <f>+BB127*100000000</f>
        <v>5469900</v>
      </c>
    </row>
    <row r="128" spans="1:55" x14ac:dyDescent="0.25">
      <c r="A128" s="62">
        <v>1990.01</v>
      </c>
      <c r="B128" s="56" t="s">
        <v>108</v>
      </c>
      <c r="C128" s="55"/>
      <c r="D128" s="54" t="s">
        <v>112</v>
      </c>
      <c r="E128" s="54">
        <v>1000</v>
      </c>
      <c r="F128" s="63">
        <v>1</v>
      </c>
      <c r="G128" s="61">
        <v>-1832782</v>
      </c>
      <c r="H128" s="61">
        <f t="shared" si="15"/>
        <v>-1832782000</v>
      </c>
      <c r="I128" s="146">
        <f t="shared" si="16"/>
        <v>0.187</v>
      </c>
      <c r="J128" s="61">
        <f t="shared" si="17"/>
        <v>-9800973262.0320854</v>
      </c>
      <c r="K128" s="61">
        <f t="shared" si="18"/>
        <v>2681844000</v>
      </c>
      <c r="L128" s="61">
        <f t="shared" si="19"/>
        <v>1302853000</v>
      </c>
      <c r="M128" s="61">
        <f t="shared" si="20"/>
        <v>499801000</v>
      </c>
      <c r="N128" s="86">
        <v>5.0979999999999999</v>
      </c>
      <c r="O128" s="80">
        <f t="shared" si="21"/>
        <v>3.6681051392703022E-2</v>
      </c>
      <c r="P128" s="61">
        <f t="shared" si="22"/>
        <v>526058061.98509222</v>
      </c>
      <c r="Q128" s="61">
        <f t="shared" si="23"/>
        <v>255561592.78148293</v>
      </c>
      <c r="R128" s="61">
        <f t="shared" si="24"/>
        <v>98038642.604943112</v>
      </c>
      <c r="S128" s="61">
        <v>2681844</v>
      </c>
      <c r="T128" s="61">
        <v>1320341</v>
      </c>
      <c r="U128" s="61">
        <v>1031534</v>
      </c>
      <c r="V128" s="61">
        <v>0</v>
      </c>
      <c r="W128" s="61">
        <v>908193</v>
      </c>
      <c r="X128" s="61">
        <v>26729</v>
      </c>
      <c r="Y128" s="61">
        <v>881464</v>
      </c>
      <c r="Z128" s="61">
        <v>123341</v>
      </c>
      <c r="AA128" s="61">
        <v>1361503</v>
      </c>
      <c r="AB128" s="61">
        <v>60805</v>
      </c>
      <c r="AC128" s="61">
        <v>1300698</v>
      </c>
      <c r="AD128" s="61">
        <v>1302853</v>
      </c>
      <c r="AE128" s="61">
        <v>2151915</v>
      </c>
      <c r="AF128" s="61">
        <v>1652114</v>
      </c>
      <c r="AG128" s="61">
        <v>27331</v>
      </c>
      <c r="AH128" s="61">
        <v>23312</v>
      </c>
      <c r="AI128" s="61">
        <v>0</v>
      </c>
      <c r="AJ128" s="61">
        <v>23312</v>
      </c>
      <c r="AK128" s="61">
        <v>0</v>
      </c>
      <c r="AL128" s="61">
        <v>4019</v>
      </c>
      <c r="AM128" s="61">
        <v>204488</v>
      </c>
      <c r="AN128" s="61">
        <v>0</v>
      </c>
      <c r="AO128" s="61">
        <v>2220.5781000000002</v>
      </c>
      <c r="AP128" s="61">
        <v>165344.93350000001</v>
      </c>
      <c r="AQ128" s="61">
        <v>1252729.4883999999</v>
      </c>
      <c r="AR128" s="61">
        <v>499801</v>
      </c>
      <c r="AS128" s="61">
        <v>336623</v>
      </c>
      <c r="AT128" s="61">
        <v>227025</v>
      </c>
      <c r="AU128" s="61">
        <v>109598</v>
      </c>
      <c r="AV128" s="61">
        <v>163178</v>
      </c>
      <c r="AW128" s="65">
        <v>0.187</v>
      </c>
      <c r="AX128">
        <f>+AW128*100000000</f>
        <v>18700000</v>
      </c>
      <c r="AY128" s="78">
        <f t="shared" si="25"/>
        <v>0.187</v>
      </c>
    </row>
    <row r="129" spans="1:55" x14ac:dyDescent="0.25">
      <c r="A129" s="57"/>
      <c r="B129" s="56" t="s">
        <v>104</v>
      </c>
      <c r="C129" s="55"/>
      <c r="D129" s="54" t="s">
        <v>112</v>
      </c>
      <c r="E129" s="54">
        <v>1000</v>
      </c>
      <c r="F129" s="63">
        <v>1</v>
      </c>
      <c r="G129" s="61">
        <v>-4627323</v>
      </c>
      <c r="H129" s="61">
        <f t="shared" si="15"/>
        <v>-4627323000</v>
      </c>
      <c r="I129" s="146">
        <f t="shared" si="16"/>
        <v>0.59699999999999998</v>
      </c>
      <c r="J129" s="61">
        <f t="shared" si="17"/>
        <v>-7750959798.9949751</v>
      </c>
      <c r="K129" s="61">
        <f t="shared" si="18"/>
        <v>5648272000</v>
      </c>
      <c r="L129" s="61">
        <f t="shared" si="19"/>
        <v>2075478000</v>
      </c>
      <c r="M129" s="61">
        <f t="shared" si="20"/>
        <v>594490000</v>
      </c>
      <c r="N129" s="86">
        <v>8.2368000000000006</v>
      </c>
      <c r="O129" s="80">
        <f t="shared" si="21"/>
        <v>7.2479603729603728E-2</v>
      </c>
      <c r="P129" s="61">
        <f t="shared" si="22"/>
        <v>685736208.2362082</v>
      </c>
      <c r="Q129" s="61">
        <f t="shared" si="23"/>
        <v>251976252.91375288</v>
      </c>
      <c r="R129" s="61">
        <f t="shared" si="24"/>
        <v>72174873.737373739</v>
      </c>
      <c r="S129" s="61">
        <v>5648272</v>
      </c>
      <c r="T129" s="61">
        <v>1419639</v>
      </c>
      <c r="U129" s="61">
        <v>1074320</v>
      </c>
      <c r="V129" s="61">
        <v>11884</v>
      </c>
      <c r="W129" s="61">
        <v>908193</v>
      </c>
      <c r="X129" s="61">
        <v>26729</v>
      </c>
      <c r="Y129" s="61">
        <v>881464</v>
      </c>
      <c r="Z129" s="61">
        <v>123341</v>
      </c>
      <c r="AA129" s="61">
        <v>4228633</v>
      </c>
      <c r="AB129" s="61">
        <v>60805</v>
      </c>
      <c r="AC129" s="61">
        <v>4167828</v>
      </c>
      <c r="AD129" s="61">
        <v>2075478</v>
      </c>
      <c r="AE129" s="61">
        <v>3096427</v>
      </c>
      <c r="AF129" s="61">
        <v>2501937</v>
      </c>
      <c r="AG129" s="61">
        <v>22915</v>
      </c>
      <c r="AH129" s="61">
        <v>16336</v>
      </c>
      <c r="AI129" s="61">
        <v>0</v>
      </c>
      <c r="AJ129" s="61">
        <v>14022</v>
      </c>
      <c r="AK129" s="61">
        <v>2314</v>
      </c>
      <c r="AL129" s="61">
        <v>6579</v>
      </c>
      <c r="AM129" s="61">
        <v>203991</v>
      </c>
      <c r="AN129" s="61">
        <v>0</v>
      </c>
      <c r="AO129" s="61">
        <v>2176.7883000000002</v>
      </c>
      <c r="AP129" s="61">
        <v>197113.78159999999</v>
      </c>
      <c r="AQ129" s="61">
        <v>2075740.4301</v>
      </c>
      <c r="AR129" s="61">
        <v>594490</v>
      </c>
      <c r="AS129" s="61">
        <v>404337</v>
      </c>
      <c r="AT129" s="61">
        <v>270091</v>
      </c>
      <c r="AU129" s="61">
        <v>134246</v>
      </c>
      <c r="AV129" s="61">
        <v>190153</v>
      </c>
      <c r="AW129" s="65">
        <v>0.59699999999999998</v>
      </c>
      <c r="AX129">
        <f t="shared" ref="AX129:AX192" si="26">+AW129*100000000</f>
        <v>59700000</v>
      </c>
      <c r="AY129" s="78">
        <f t="shared" si="25"/>
        <v>0.59699999999999998</v>
      </c>
    </row>
    <row r="130" spans="1:55" x14ac:dyDescent="0.25">
      <c r="A130" s="57"/>
      <c r="B130" s="56" t="s">
        <v>105</v>
      </c>
      <c r="C130" s="55"/>
      <c r="D130" s="54" t="s">
        <v>112</v>
      </c>
      <c r="E130" s="54">
        <v>1000</v>
      </c>
      <c r="F130" s="63">
        <v>1</v>
      </c>
      <c r="G130" s="61">
        <v>-3442396</v>
      </c>
      <c r="H130" s="61">
        <f t="shared" si="15"/>
        <v>-3442396000</v>
      </c>
      <c r="I130" s="146">
        <f t="shared" si="16"/>
        <v>0.46600000000000003</v>
      </c>
      <c r="J130" s="61">
        <f t="shared" si="17"/>
        <v>-7387115879.8283262</v>
      </c>
      <c r="K130" s="61">
        <f t="shared" si="18"/>
        <v>4824248000</v>
      </c>
      <c r="L130" s="61">
        <f t="shared" si="19"/>
        <v>3783376000</v>
      </c>
      <c r="M130" s="61">
        <f t="shared" si="20"/>
        <v>930126000</v>
      </c>
      <c r="N130" s="86">
        <v>16.1052</v>
      </c>
      <c r="O130" s="80">
        <f t="shared" si="21"/>
        <v>2.8934753992499319E-2</v>
      </c>
      <c r="P130" s="61">
        <f t="shared" si="22"/>
        <v>299545985.14765418</v>
      </c>
      <c r="Q130" s="61">
        <f t="shared" si="23"/>
        <v>234916424.50885427</v>
      </c>
      <c r="R130" s="61">
        <f t="shared" si="24"/>
        <v>57753148.051560983</v>
      </c>
      <c r="S130" s="61">
        <v>4824248</v>
      </c>
      <c r="T130" s="61">
        <v>1511698</v>
      </c>
      <c r="U130" s="61">
        <v>1150848</v>
      </c>
      <c r="V130" s="61">
        <v>88412</v>
      </c>
      <c r="W130" s="61">
        <v>908193</v>
      </c>
      <c r="X130" s="61">
        <v>26729</v>
      </c>
      <c r="Y130" s="61">
        <v>881464</v>
      </c>
      <c r="Z130" s="61">
        <v>123341</v>
      </c>
      <c r="AA130" s="61">
        <v>3312550</v>
      </c>
      <c r="AB130" s="61">
        <v>60805</v>
      </c>
      <c r="AC130" s="61">
        <v>3251745</v>
      </c>
      <c r="AD130" s="61">
        <v>3783376</v>
      </c>
      <c r="AE130" s="61">
        <v>5165228</v>
      </c>
      <c r="AF130" s="61">
        <v>4235102</v>
      </c>
      <c r="AG130" s="61">
        <v>37428</v>
      </c>
      <c r="AH130" s="61">
        <v>30256</v>
      </c>
      <c r="AI130" s="61">
        <v>0</v>
      </c>
      <c r="AJ130" s="61">
        <v>23587</v>
      </c>
      <c r="AK130" s="61">
        <v>6669</v>
      </c>
      <c r="AL130" s="61">
        <v>7172</v>
      </c>
      <c r="AM130" s="61">
        <v>301360</v>
      </c>
      <c r="AN130" s="61">
        <v>0</v>
      </c>
      <c r="AO130" s="61">
        <v>1154.8920000000001</v>
      </c>
      <c r="AP130" s="61">
        <v>96244.506699999998</v>
      </c>
      <c r="AQ130" s="61">
        <v>3798914.6013000002</v>
      </c>
      <c r="AR130" s="61">
        <v>930126</v>
      </c>
      <c r="AS130" s="61">
        <v>601942</v>
      </c>
      <c r="AT130" s="61">
        <v>401446</v>
      </c>
      <c r="AU130" s="61">
        <v>200496</v>
      </c>
      <c r="AV130" s="61">
        <v>328184</v>
      </c>
      <c r="AW130" s="65">
        <v>0.46600000000000003</v>
      </c>
      <c r="AX130">
        <f t="shared" si="26"/>
        <v>46600000</v>
      </c>
      <c r="AY130" s="78">
        <f t="shared" si="25"/>
        <v>0.46600000000000003</v>
      </c>
    </row>
    <row r="131" spans="1:55" x14ac:dyDescent="0.25">
      <c r="A131" s="57"/>
      <c r="B131" s="56" t="s">
        <v>106</v>
      </c>
      <c r="C131" s="55"/>
      <c r="D131" s="54" t="s">
        <v>112</v>
      </c>
      <c r="E131" s="54">
        <v>1000</v>
      </c>
      <c r="F131" s="63">
        <v>1</v>
      </c>
      <c r="G131" s="61">
        <v>-3095759</v>
      </c>
      <c r="H131" s="61">
        <f t="shared" si="15"/>
        <v>-3095759000</v>
      </c>
      <c r="I131" s="146">
        <f t="shared" si="16"/>
        <v>0.501</v>
      </c>
      <c r="J131" s="61">
        <f t="shared" si="17"/>
        <v>-6179159680.6387224</v>
      </c>
      <c r="K131" s="61">
        <f t="shared" si="18"/>
        <v>4980006000</v>
      </c>
      <c r="L131" s="61">
        <f t="shared" si="19"/>
        <v>6208721000</v>
      </c>
      <c r="M131" s="61">
        <f t="shared" si="20"/>
        <v>1229198000</v>
      </c>
      <c r="N131" s="86">
        <v>17.936699999999998</v>
      </c>
      <c r="O131" s="80">
        <f t="shared" si="21"/>
        <v>2.7931559316931212E-2</v>
      </c>
      <c r="P131" s="61">
        <f t="shared" si="22"/>
        <v>277643379.21691287</v>
      </c>
      <c r="Q131" s="61">
        <f t="shared" si="23"/>
        <v>346146225.33687919</v>
      </c>
      <c r="R131" s="61">
        <f t="shared" si="24"/>
        <v>68529774.150206015</v>
      </c>
      <c r="S131" s="61">
        <v>4980006</v>
      </c>
      <c r="T131" s="61">
        <v>1422701</v>
      </c>
      <c r="U131" s="61">
        <v>1062436</v>
      </c>
      <c r="V131" s="61">
        <v>0</v>
      </c>
      <c r="W131" s="61">
        <v>908193</v>
      </c>
      <c r="X131" s="61">
        <v>26729</v>
      </c>
      <c r="Y131" s="61">
        <v>881464</v>
      </c>
      <c r="Z131" s="61">
        <v>123341</v>
      </c>
      <c r="AA131" s="61">
        <v>3557305</v>
      </c>
      <c r="AB131" s="61">
        <v>60805</v>
      </c>
      <c r="AC131" s="61">
        <v>3496500</v>
      </c>
      <c r="AD131" s="61">
        <v>6208721</v>
      </c>
      <c r="AE131" s="61">
        <v>8092968</v>
      </c>
      <c r="AF131" s="61">
        <v>6863770</v>
      </c>
      <c r="AG131" s="61">
        <v>78150</v>
      </c>
      <c r="AH131" s="61">
        <v>77090</v>
      </c>
      <c r="AI131" s="61">
        <v>0</v>
      </c>
      <c r="AJ131" s="61">
        <v>72375</v>
      </c>
      <c r="AK131" s="61">
        <v>4715</v>
      </c>
      <c r="AL131" s="61">
        <v>1060</v>
      </c>
      <c r="AM131" s="61">
        <v>268158</v>
      </c>
      <c r="AN131" s="61">
        <v>0</v>
      </c>
      <c r="AO131" s="61">
        <v>3627.9940000000001</v>
      </c>
      <c r="AP131" s="61">
        <v>51704.5406</v>
      </c>
      <c r="AQ131" s="61">
        <v>6462129.4654000001</v>
      </c>
      <c r="AR131" s="61">
        <v>1229198</v>
      </c>
      <c r="AS131" s="61">
        <v>847291</v>
      </c>
      <c r="AT131" s="61">
        <v>540380</v>
      </c>
      <c r="AU131" s="61">
        <v>306911</v>
      </c>
      <c r="AV131" s="61">
        <v>381907</v>
      </c>
      <c r="AW131" s="65">
        <v>0.501</v>
      </c>
      <c r="AX131">
        <f t="shared" si="26"/>
        <v>50100000</v>
      </c>
      <c r="AY131" s="78">
        <f t="shared" si="25"/>
        <v>0.501</v>
      </c>
    </row>
    <row r="132" spans="1:55" x14ac:dyDescent="0.25">
      <c r="A132" s="57"/>
      <c r="B132" s="56" t="s">
        <v>107</v>
      </c>
      <c r="C132" s="55"/>
      <c r="D132" s="54" t="s">
        <v>112</v>
      </c>
      <c r="E132" s="54">
        <v>1000</v>
      </c>
      <c r="F132" s="63">
        <v>1</v>
      </c>
      <c r="G132" s="61">
        <v>-3084713</v>
      </c>
      <c r="H132" s="61">
        <f t="shared" si="15"/>
        <v>-3084713000</v>
      </c>
      <c r="I132" s="146">
        <f t="shared" si="16"/>
        <v>0.501</v>
      </c>
      <c r="J132" s="61">
        <f t="shared" si="17"/>
        <v>-6157111776.4471054</v>
      </c>
      <c r="K132" s="61">
        <f t="shared" si="18"/>
        <v>4835517000</v>
      </c>
      <c r="L132" s="61">
        <f t="shared" si="19"/>
        <v>7120465000</v>
      </c>
      <c r="M132" s="61">
        <f t="shared" si="20"/>
        <v>1409982000</v>
      </c>
      <c r="N132" s="86">
        <v>20.377500000000001</v>
      </c>
      <c r="O132" s="80">
        <f t="shared" si="21"/>
        <v>2.4585940375414058E-2</v>
      </c>
      <c r="P132" s="61">
        <f t="shared" si="22"/>
        <v>237296871.54950312</v>
      </c>
      <c r="Q132" s="61">
        <f t="shared" si="23"/>
        <v>349427800.26990551</v>
      </c>
      <c r="R132" s="61">
        <f t="shared" si="24"/>
        <v>69193080.60360691</v>
      </c>
      <c r="S132" s="61">
        <v>4835517</v>
      </c>
      <c r="T132" s="61">
        <v>1278212</v>
      </c>
      <c r="U132" s="61">
        <v>913337</v>
      </c>
      <c r="V132" s="61">
        <v>0</v>
      </c>
      <c r="W132" s="61">
        <v>881599</v>
      </c>
      <c r="X132" s="61">
        <v>135</v>
      </c>
      <c r="Y132" s="61">
        <v>881464</v>
      </c>
      <c r="Z132" s="61">
        <v>836</v>
      </c>
      <c r="AA132" s="61">
        <v>3557305</v>
      </c>
      <c r="AB132" s="61">
        <v>60805</v>
      </c>
      <c r="AC132" s="61">
        <v>3496500</v>
      </c>
      <c r="AD132" s="61">
        <v>7120465</v>
      </c>
      <c r="AE132" s="61">
        <v>8871269</v>
      </c>
      <c r="AF132" s="61">
        <v>7461287</v>
      </c>
      <c r="AG132" s="61">
        <v>138524</v>
      </c>
      <c r="AH132" s="61">
        <v>137314</v>
      </c>
      <c r="AI132" s="61">
        <v>0</v>
      </c>
      <c r="AJ132" s="61">
        <v>126601</v>
      </c>
      <c r="AK132" s="61">
        <v>10713</v>
      </c>
      <c r="AL132" s="61">
        <v>1210</v>
      </c>
      <c r="AM132" s="61">
        <v>98445</v>
      </c>
      <c r="AN132" s="61">
        <v>0</v>
      </c>
      <c r="AO132" s="61">
        <v>3428.6547</v>
      </c>
      <c r="AP132" s="61">
        <v>49517.533300000003</v>
      </c>
      <c r="AQ132" s="61">
        <v>7171371.8119999999</v>
      </c>
      <c r="AR132" s="61">
        <v>1409982</v>
      </c>
      <c r="AS132" s="61">
        <v>1076168</v>
      </c>
      <c r="AT132" s="61">
        <v>685479</v>
      </c>
      <c r="AU132" s="61">
        <v>390689</v>
      </c>
      <c r="AV132" s="61">
        <v>333814</v>
      </c>
      <c r="AW132" s="65">
        <v>0.501</v>
      </c>
      <c r="AX132">
        <f t="shared" si="26"/>
        <v>50100000</v>
      </c>
      <c r="AY132" s="78">
        <f t="shared" si="25"/>
        <v>0.501</v>
      </c>
    </row>
    <row r="133" spans="1:55" x14ac:dyDescent="0.25">
      <c r="A133" s="57"/>
      <c r="B133" s="56" t="s">
        <v>96</v>
      </c>
      <c r="C133" s="55"/>
      <c r="D133" s="54" t="s">
        <v>112</v>
      </c>
      <c r="E133" s="54">
        <v>1000</v>
      </c>
      <c r="F133" s="63">
        <v>1</v>
      </c>
      <c r="G133" s="61">
        <v>-2777016</v>
      </c>
      <c r="H133" s="61">
        <f t="shared" si="15"/>
        <v>-2777016000</v>
      </c>
      <c r="I133" s="146">
        <f t="shared" si="16"/>
        <v>0.52700000000000002</v>
      </c>
      <c r="J133" s="61">
        <f t="shared" si="17"/>
        <v>-5269480075.9013281</v>
      </c>
      <c r="K133" s="61">
        <f t="shared" si="18"/>
        <v>5011452000</v>
      </c>
      <c r="L133" s="61">
        <f t="shared" si="19"/>
        <v>7751331000</v>
      </c>
      <c r="M133" s="61">
        <f t="shared" si="20"/>
        <v>1820867000</v>
      </c>
      <c r="N133" s="86">
        <v>23.209499999999998</v>
      </c>
      <c r="O133" s="80">
        <f t="shared" si="21"/>
        <v>2.270621943600681E-2</v>
      </c>
      <c r="P133" s="61">
        <f t="shared" si="22"/>
        <v>215922445.55031347</v>
      </c>
      <c r="Q133" s="61">
        <f t="shared" si="23"/>
        <v>333972338.91294515</v>
      </c>
      <c r="R133" s="61">
        <f t="shared" si="24"/>
        <v>78453521.187444806</v>
      </c>
      <c r="S133" s="61">
        <v>5011452</v>
      </c>
      <c r="T133" s="61">
        <v>1272329</v>
      </c>
      <c r="U133" s="61">
        <v>913337</v>
      </c>
      <c r="V133" s="61">
        <v>0</v>
      </c>
      <c r="W133" s="61">
        <v>881599</v>
      </c>
      <c r="X133" s="61">
        <v>135</v>
      </c>
      <c r="Y133" s="61">
        <v>881464</v>
      </c>
      <c r="Z133" s="61">
        <v>836</v>
      </c>
      <c r="AA133" s="61">
        <v>3739123</v>
      </c>
      <c r="AB133" s="61">
        <v>60805</v>
      </c>
      <c r="AC133" s="61">
        <v>3678318</v>
      </c>
      <c r="AD133" s="61">
        <v>7751331</v>
      </c>
      <c r="AE133" s="61">
        <v>9985767</v>
      </c>
      <c r="AF133" s="61">
        <v>8164900</v>
      </c>
      <c r="AG133" s="61">
        <v>287255</v>
      </c>
      <c r="AH133" s="61">
        <v>276563</v>
      </c>
      <c r="AI133" s="61">
        <v>0</v>
      </c>
      <c r="AJ133" s="61">
        <v>276559</v>
      </c>
      <c r="AK133" s="61">
        <v>4</v>
      </c>
      <c r="AL133" s="61">
        <v>10692</v>
      </c>
      <c r="AM133" s="61">
        <v>34935</v>
      </c>
      <c r="AN133" s="61">
        <v>0</v>
      </c>
      <c r="AO133" s="61">
        <v>6011.4083000000001</v>
      </c>
      <c r="AP133" s="61">
        <v>49991.280299999999</v>
      </c>
      <c r="AQ133" s="61">
        <v>7786707.3114</v>
      </c>
      <c r="AR133" s="61">
        <v>1820867</v>
      </c>
      <c r="AS133" s="61">
        <v>1377166</v>
      </c>
      <c r="AT133" s="61">
        <v>912827</v>
      </c>
      <c r="AU133" s="61">
        <v>464339</v>
      </c>
      <c r="AV133" s="61">
        <v>443701</v>
      </c>
      <c r="AW133" s="65">
        <v>0.52700000000000002</v>
      </c>
      <c r="AX133">
        <f t="shared" si="26"/>
        <v>52700000</v>
      </c>
      <c r="AY133" s="78">
        <f t="shared" si="25"/>
        <v>0.52700000000000002</v>
      </c>
    </row>
    <row r="134" spans="1:55" x14ac:dyDescent="0.25">
      <c r="A134" s="57"/>
      <c r="B134" s="56" t="s">
        <v>97</v>
      </c>
      <c r="C134" s="55"/>
      <c r="D134" s="54" t="s">
        <v>112</v>
      </c>
      <c r="E134" s="54">
        <v>1000</v>
      </c>
      <c r="F134" s="63">
        <v>1</v>
      </c>
      <c r="G134" s="61">
        <v>-2834901</v>
      </c>
      <c r="H134" s="61">
        <f t="shared" si="15"/>
        <v>-2834901000</v>
      </c>
      <c r="I134" s="146">
        <f t="shared" si="16"/>
        <v>0.54500000000000004</v>
      </c>
      <c r="J134" s="61">
        <f t="shared" si="17"/>
        <v>-5201653211.0091743</v>
      </c>
      <c r="K134" s="61">
        <f t="shared" si="18"/>
        <v>5219952000</v>
      </c>
      <c r="L134" s="61">
        <f t="shared" si="19"/>
        <v>8755963000</v>
      </c>
      <c r="M134" s="61">
        <f t="shared" si="20"/>
        <v>1966004000</v>
      </c>
      <c r="N134" s="86">
        <v>25.722000000000001</v>
      </c>
      <c r="O134" s="80">
        <f t="shared" si="21"/>
        <v>2.1188088018039033E-2</v>
      </c>
      <c r="P134" s="61">
        <f t="shared" si="22"/>
        <v>202937252.15768602</v>
      </c>
      <c r="Q134" s="61">
        <f t="shared" si="23"/>
        <v>340407549.95723504</v>
      </c>
      <c r="R134" s="61">
        <f t="shared" si="24"/>
        <v>76432781.276728094</v>
      </c>
      <c r="S134" s="61">
        <v>5219952</v>
      </c>
      <c r="T134" s="61">
        <v>1276916</v>
      </c>
      <c r="U134" s="61">
        <v>913336</v>
      </c>
      <c r="V134" s="61">
        <v>0</v>
      </c>
      <c r="W134" s="61">
        <v>881599</v>
      </c>
      <c r="X134" s="61">
        <v>135</v>
      </c>
      <c r="Y134" s="61">
        <v>881464</v>
      </c>
      <c r="Z134" s="61">
        <v>835</v>
      </c>
      <c r="AA134" s="61">
        <v>3943036</v>
      </c>
      <c r="AB134" s="61">
        <v>138844</v>
      </c>
      <c r="AC134" s="61">
        <v>3804192</v>
      </c>
      <c r="AD134" s="61">
        <v>8755963</v>
      </c>
      <c r="AE134" s="61">
        <v>11141014</v>
      </c>
      <c r="AF134" s="61">
        <v>9175010</v>
      </c>
      <c r="AG134" s="61">
        <v>218516</v>
      </c>
      <c r="AH134" s="61">
        <v>208082</v>
      </c>
      <c r="AI134" s="61">
        <v>0</v>
      </c>
      <c r="AJ134" s="61">
        <v>204751</v>
      </c>
      <c r="AK134" s="61">
        <v>3331</v>
      </c>
      <c r="AL134" s="61">
        <v>10434</v>
      </c>
      <c r="AM134" s="61">
        <v>9051</v>
      </c>
      <c r="AN134" s="61">
        <v>0</v>
      </c>
      <c r="AO134" s="61">
        <v>5146.4710999999998</v>
      </c>
      <c r="AP134" s="61">
        <v>57775.032899999998</v>
      </c>
      <c r="AQ134" s="61">
        <v>8884521.4959999993</v>
      </c>
      <c r="AR134" s="61">
        <v>1966004</v>
      </c>
      <c r="AS134" s="61">
        <v>1643866</v>
      </c>
      <c r="AT134" s="61">
        <v>1037075</v>
      </c>
      <c r="AU134" s="61">
        <v>606791</v>
      </c>
      <c r="AV134" s="61">
        <v>322138</v>
      </c>
      <c r="AW134" s="65">
        <v>0.54500000000000004</v>
      </c>
      <c r="AX134">
        <f t="shared" si="26"/>
        <v>54500000.000000007</v>
      </c>
      <c r="AY134" s="78">
        <f t="shared" si="25"/>
        <v>0.54500000000000004</v>
      </c>
    </row>
    <row r="135" spans="1:55" x14ac:dyDescent="0.25">
      <c r="A135" s="57"/>
      <c r="B135" s="56" t="s">
        <v>98</v>
      </c>
      <c r="C135" s="55"/>
      <c r="D135" s="54" t="s">
        <v>112</v>
      </c>
      <c r="E135" s="54">
        <v>1000</v>
      </c>
      <c r="F135" s="63">
        <v>1</v>
      </c>
      <c r="G135" s="61">
        <v>-3246072</v>
      </c>
      <c r="H135" s="61">
        <f t="shared" si="15"/>
        <v>-3246072000</v>
      </c>
      <c r="I135" s="146">
        <f t="shared" si="16"/>
        <v>0.62</v>
      </c>
      <c r="J135" s="61">
        <f t="shared" si="17"/>
        <v>-5235600000</v>
      </c>
      <c r="K135" s="61">
        <f t="shared" si="18"/>
        <v>5724918000</v>
      </c>
      <c r="L135" s="61">
        <f t="shared" si="19"/>
        <v>9294189000</v>
      </c>
      <c r="M135" s="61">
        <f t="shared" si="20"/>
        <v>1976474000</v>
      </c>
      <c r="N135" s="86">
        <v>29.667200000000001</v>
      </c>
      <c r="O135" s="80">
        <f t="shared" si="21"/>
        <v>2.0898500701110989E-2</v>
      </c>
      <c r="P135" s="61">
        <f t="shared" si="22"/>
        <v>192971294.89806923</v>
      </c>
      <c r="Q135" s="61">
        <f t="shared" si="23"/>
        <v>313281637.63348073</v>
      </c>
      <c r="R135" s="61">
        <f t="shared" si="24"/>
        <v>66621521.410851039</v>
      </c>
      <c r="S135" s="61">
        <v>5724918</v>
      </c>
      <c r="T135" s="61">
        <v>1284161</v>
      </c>
      <c r="U135" s="61">
        <v>913358</v>
      </c>
      <c r="V135" s="61">
        <v>0</v>
      </c>
      <c r="W135" s="61">
        <v>881599</v>
      </c>
      <c r="X135" s="61">
        <v>135</v>
      </c>
      <c r="Y135" s="61">
        <v>881464</v>
      </c>
      <c r="Z135" s="61">
        <v>857</v>
      </c>
      <c r="AA135" s="61">
        <v>4440757</v>
      </c>
      <c r="AB135" s="61">
        <v>112090</v>
      </c>
      <c r="AC135" s="61">
        <v>4328667</v>
      </c>
      <c r="AD135" s="61">
        <v>9294189</v>
      </c>
      <c r="AE135" s="61">
        <v>11773035</v>
      </c>
      <c r="AF135" s="61">
        <v>9796561</v>
      </c>
      <c r="AG135" s="61">
        <v>290091</v>
      </c>
      <c r="AH135" s="61">
        <v>288208</v>
      </c>
      <c r="AI135" s="61">
        <v>0</v>
      </c>
      <c r="AJ135" s="61">
        <v>282831</v>
      </c>
      <c r="AK135" s="61">
        <v>5377</v>
      </c>
      <c r="AL135" s="61">
        <v>1883</v>
      </c>
      <c r="AM135" s="61">
        <v>14418</v>
      </c>
      <c r="AN135" s="61">
        <v>0</v>
      </c>
      <c r="AO135" s="61">
        <v>5406.3077000000003</v>
      </c>
      <c r="AP135" s="61">
        <v>41074.748200000002</v>
      </c>
      <c r="AQ135" s="61">
        <v>9445570.9441</v>
      </c>
      <c r="AR135" s="61">
        <v>1976474</v>
      </c>
      <c r="AS135" s="61">
        <v>1666196</v>
      </c>
      <c r="AT135" s="61">
        <v>1157371</v>
      </c>
      <c r="AU135" s="61">
        <v>508825</v>
      </c>
      <c r="AV135" s="61">
        <v>310278</v>
      </c>
      <c r="AW135" s="65">
        <v>0.62</v>
      </c>
      <c r="AX135">
        <f t="shared" si="26"/>
        <v>62000000</v>
      </c>
      <c r="AY135" s="78">
        <f t="shared" si="25"/>
        <v>0.62</v>
      </c>
    </row>
    <row r="136" spans="1:55" x14ac:dyDescent="0.25">
      <c r="A136" s="57"/>
      <c r="B136" s="56" t="s">
        <v>99</v>
      </c>
      <c r="C136" s="55"/>
      <c r="D136" s="54" t="s">
        <v>112</v>
      </c>
      <c r="E136" s="54">
        <v>1000</v>
      </c>
      <c r="F136" s="63">
        <v>1</v>
      </c>
      <c r="G136" s="61">
        <v>-2718171</v>
      </c>
      <c r="H136" s="61">
        <f t="shared" si="15"/>
        <v>-2718171000</v>
      </c>
      <c r="I136" s="146">
        <f t="shared" si="16"/>
        <v>0.5615</v>
      </c>
      <c r="J136" s="61">
        <f t="shared" si="17"/>
        <v>-4840910062.3330364</v>
      </c>
      <c r="K136" s="61">
        <f t="shared" si="18"/>
        <v>5427974000</v>
      </c>
      <c r="L136" s="61">
        <f t="shared" si="19"/>
        <v>10783596000</v>
      </c>
      <c r="M136" s="61">
        <f t="shared" si="20"/>
        <v>2298607000</v>
      </c>
      <c r="N136" s="86">
        <v>34.318199999999997</v>
      </c>
      <c r="O136" s="80">
        <f t="shared" si="21"/>
        <v>1.6361580735586367E-2</v>
      </c>
      <c r="P136" s="61">
        <f t="shared" si="22"/>
        <v>158166046.00474384</v>
      </c>
      <c r="Q136" s="61">
        <f t="shared" si="23"/>
        <v>314223822.92777598</v>
      </c>
      <c r="R136" s="61">
        <f t="shared" si="24"/>
        <v>66979241.335501283</v>
      </c>
      <c r="S136" s="61">
        <v>5427974</v>
      </c>
      <c r="T136" s="61">
        <v>1339434</v>
      </c>
      <c r="U136" s="61">
        <v>972979</v>
      </c>
      <c r="V136" s="61">
        <v>0</v>
      </c>
      <c r="W136" s="61">
        <v>942037</v>
      </c>
      <c r="X136" s="61">
        <v>60573</v>
      </c>
      <c r="Y136" s="61">
        <v>881464</v>
      </c>
      <c r="Z136" s="61">
        <v>40</v>
      </c>
      <c r="AA136" s="61">
        <v>4088540</v>
      </c>
      <c r="AB136" s="61">
        <v>168963</v>
      </c>
      <c r="AC136" s="61">
        <v>3919577</v>
      </c>
      <c r="AD136" s="61">
        <v>10783596</v>
      </c>
      <c r="AE136" s="61">
        <v>13493399</v>
      </c>
      <c r="AF136" s="61">
        <v>11194792</v>
      </c>
      <c r="AG136" s="61">
        <v>259343</v>
      </c>
      <c r="AH136" s="61">
        <v>258240</v>
      </c>
      <c r="AI136" s="61">
        <v>0</v>
      </c>
      <c r="AJ136" s="61">
        <v>257111</v>
      </c>
      <c r="AK136" s="61">
        <v>1129</v>
      </c>
      <c r="AL136" s="61">
        <v>1103</v>
      </c>
      <c r="AM136" s="61">
        <v>17243</v>
      </c>
      <c r="AN136" s="61">
        <v>0</v>
      </c>
      <c r="AO136" s="61">
        <v>5283.4072999999999</v>
      </c>
      <c r="AP136" s="61">
        <v>44382.186500000003</v>
      </c>
      <c r="AQ136" s="61">
        <v>10868540.406200001</v>
      </c>
      <c r="AR136" s="61">
        <v>2298607</v>
      </c>
      <c r="AS136" s="61">
        <v>1669549</v>
      </c>
      <c r="AT136" s="61">
        <v>1163335</v>
      </c>
      <c r="AU136" s="61">
        <v>506214</v>
      </c>
      <c r="AV136" s="61">
        <v>629058</v>
      </c>
      <c r="AW136" s="65">
        <v>0.5615</v>
      </c>
      <c r="AX136">
        <f t="shared" si="26"/>
        <v>56150000</v>
      </c>
      <c r="AY136" s="78">
        <f t="shared" si="25"/>
        <v>0.5615</v>
      </c>
    </row>
    <row r="137" spans="1:55" x14ac:dyDescent="0.25">
      <c r="A137" s="57"/>
      <c r="B137" s="56" t="s">
        <v>100</v>
      </c>
      <c r="C137" s="55"/>
      <c r="D137" s="54" t="s">
        <v>112</v>
      </c>
      <c r="E137" s="54">
        <v>1000</v>
      </c>
      <c r="F137" s="63">
        <v>1</v>
      </c>
      <c r="G137" s="61">
        <v>-2464563</v>
      </c>
      <c r="H137" s="61">
        <f t="shared" ref="H137:H200" si="27">+G137*E137*F137</f>
        <v>-2464563000</v>
      </c>
      <c r="I137" s="146">
        <f t="shared" ref="I137:I200" si="28">+AY137</f>
        <v>0.55700000000000005</v>
      </c>
      <c r="J137" s="61">
        <f t="shared" ref="J137:J200" si="29">+H137/I137</f>
        <v>-4424709156.1938953</v>
      </c>
      <c r="K137" s="61">
        <f t="shared" ref="K137:K200" si="30">+S137*E137*F137</f>
        <v>5346333000</v>
      </c>
      <c r="L137" s="61">
        <f t="shared" ref="L137:L200" si="31">+AD137*E137*F137</f>
        <v>12200375000</v>
      </c>
      <c r="M137" s="61">
        <f t="shared" ref="M137:M200" si="32">+AR137*E137*F137</f>
        <v>2526096000</v>
      </c>
      <c r="N137" s="86">
        <v>36.9574</v>
      </c>
      <c r="O137" s="80">
        <f t="shared" ref="O137:O200" si="33">+I137/N137</f>
        <v>1.5071406538338737E-2</v>
      </c>
      <c r="P137" s="61">
        <f t="shared" ref="P137:P200" si="34">+K137/$N137</f>
        <v>144662043.3255586</v>
      </c>
      <c r="Q137" s="61">
        <f t="shared" ref="Q137:Q200" si="35">+L137/$N137</f>
        <v>330119948.91415524</v>
      </c>
      <c r="R137" s="61">
        <f t="shared" ref="R137:R200" si="36">+M137/$N137</f>
        <v>68351561.527596638</v>
      </c>
      <c r="S137" s="61">
        <v>5346333</v>
      </c>
      <c r="T137" s="61">
        <v>1383616</v>
      </c>
      <c r="U137" s="61">
        <v>1028656</v>
      </c>
      <c r="V137" s="61">
        <v>83600</v>
      </c>
      <c r="W137" s="61">
        <v>914136</v>
      </c>
      <c r="X137" s="61">
        <v>32672</v>
      </c>
      <c r="Y137" s="61">
        <v>881464</v>
      </c>
      <c r="Z137" s="61">
        <v>18</v>
      </c>
      <c r="AA137" s="61">
        <v>3962717</v>
      </c>
      <c r="AB137" s="61">
        <v>74609</v>
      </c>
      <c r="AC137" s="61">
        <v>3888108</v>
      </c>
      <c r="AD137" s="61">
        <v>12200375</v>
      </c>
      <c r="AE137" s="61">
        <v>15082145</v>
      </c>
      <c r="AF137" s="61">
        <v>12556049</v>
      </c>
      <c r="AG137" s="61">
        <v>166481</v>
      </c>
      <c r="AH137" s="61">
        <v>165414</v>
      </c>
      <c r="AI137" s="61">
        <v>0</v>
      </c>
      <c r="AJ137" s="61">
        <v>160720</v>
      </c>
      <c r="AK137" s="61">
        <v>4694</v>
      </c>
      <c r="AL137" s="61">
        <v>1067</v>
      </c>
      <c r="AM137" s="61">
        <v>17089</v>
      </c>
      <c r="AN137" s="61">
        <v>0</v>
      </c>
      <c r="AO137" s="61">
        <v>5108.7606999999998</v>
      </c>
      <c r="AP137" s="61">
        <v>43503.615899999997</v>
      </c>
      <c r="AQ137" s="61">
        <v>12323866.623399999</v>
      </c>
      <c r="AR137" s="61">
        <v>2526096</v>
      </c>
      <c r="AS137" s="61">
        <v>1917133</v>
      </c>
      <c r="AT137" s="61">
        <v>1248983</v>
      </c>
      <c r="AU137" s="61">
        <v>668150</v>
      </c>
      <c r="AV137" s="61">
        <v>608963</v>
      </c>
      <c r="AW137" s="65">
        <v>0.55700000000000005</v>
      </c>
      <c r="AX137">
        <f t="shared" si="26"/>
        <v>55700000.000000007</v>
      </c>
      <c r="AY137" s="78">
        <f t="shared" ref="AY137:AY200" si="37">+AX137/100000000</f>
        <v>0.55700000000000005</v>
      </c>
    </row>
    <row r="138" spans="1:55" x14ac:dyDescent="0.25">
      <c r="A138" s="57"/>
      <c r="B138" s="56" t="s">
        <v>101</v>
      </c>
      <c r="C138" s="55"/>
      <c r="D138" s="54" t="s">
        <v>112</v>
      </c>
      <c r="E138" s="54">
        <v>1000</v>
      </c>
      <c r="F138" s="63">
        <v>1</v>
      </c>
      <c r="G138" s="61">
        <v>-1899524</v>
      </c>
      <c r="H138" s="61">
        <f t="shared" si="27"/>
        <v>-1899524000</v>
      </c>
      <c r="I138" s="146">
        <f t="shared" si="28"/>
        <v>0.51300000000000001</v>
      </c>
      <c r="J138" s="61">
        <f t="shared" si="29"/>
        <v>-3702775828.4600391</v>
      </c>
      <c r="K138" s="61">
        <f t="shared" si="30"/>
        <v>5139149000</v>
      </c>
      <c r="L138" s="61">
        <f t="shared" si="31"/>
        <v>12805635000</v>
      </c>
      <c r="M138" s="61">
        <f t="shared" si="32"/>
        <v>2940912000</v>
      </c>
      <c r="N138" s="86">
        <v>39.241599999999998</v>
      </c>
      <c r="O138" s="80">
        <f t="shared" si="33"/>
        <v>1.3072861453151759E-2</v>
      </c>
      <c r="P138" s="61">
        <f t="shared" si="34"/>
        <v>130961759.96901248</v>
      </c>
      <c r="Q138" s="61">
        <f t="shared" si="35"/>
        <v>326328054.92130804</v>
      </c>
      <c r="R138" s="61">
        <f t="shared" si="36"/>
        <v>74943733.181113929</v>
      </c>
      <c r="S138" s="61">
        <v>5139149</v>
      </c>
      <c r="T138" s="61">
        <v>1462761</v>
      </c>
      <c r="U138" s="61">
        <v>1111991</v>
      </c>
      <c r="V138" s="61">
        <v>150665</v>
      </c>
      <c r="W138" s="61">
        <v>930406</v>
      </c>
      <c r="X138" s="61">
        <v>48942</v>
      </c>
      <c r="Y138" s="61">
        <v>881464</v>
      </c>
      <c r="Z138" s="61">
        <v>18</v>
      </c>
      <c r="AA138" s="61">
        <v>3676388</v>
      </c>
      <c r="AB138" s="61">
        <v>95972</v>
      </c>
      <c r="AC138" s="61">
        <v>3580416</v>
      </c>
      <c r="AD138" s="61">
        <v>12805635</v>
      </c>
      <c r="AE138" s="61">
        <v>16045260</v>
      </c>
      <c r="AF138" s="61">
        <v>13104348</v>
      </c>
      <c r="AG138" s="61">
        <v>165673</v>
      </c>
      <c r="AH138" s="61">
        <v>164652</v>
      </c>
      <c r="AI138" s="61">
        <v>0</v>
      </c>
      <c r="AJ138" s="61">
        <v>159989</v>
      </c>
      <c r="AK138" s="61">
        <v>4663</v>
      </c>
      <c r="AL138" s="61">
        <v>1021</v>
      </c>
      <c r="AM138" s="61">
        <v>18890</v>
      </c>
      <c r="AN138" s="61">
        <v>0</v>
      </c>
      <c r="AO138" s="61">
        <v>3479.5504000000001</v>
      </c>
      <c r="AP138" s="61">
        <v>32750.726600000002</v>
      </c>
      <c r="AQ138" s="61">
        <v>12883554.722999999</v>
      </c>
      <c r="AR138" s="61">
        <v>2940912</v>
      </c>
      <c r="AS138" s="61">
        <v>2180931</v>
      </c>
      <c r="AT138" s="61">
        <v>1511417</v>
      </c>
      <c r="AU138" s="61">
        <v>669514</v>
      </c>
      <c r="AV138" s="61">
        <v>759981</v>
      </c>
      <c r="AW138" s="65">
        <v>0.51300000000000001</v>
      </c>
      <c r="AX138">
        <f t="shared" si="26"/>
        <v>51300000</v>
      </c>
      <c r="AY138" s="78">
        <f t="shared" si="37"/>
        <v>0.51300000000000001</v>
      </c>
    </row>
    <row r="139" spans="1:55" x14ac:dyDescent="0.25">
      <c r="A139" s="57"/>
      <c r="B139" s="56" t="s">
        <v>102</v>
      </c>
      <c r="C139" s="55"/>
      <c r="D139" s="54" t="s">
        <v>112</v>
      </c>
      <c r="E139" s="54">
        <v>1000</v>
      </c>
      <c r="F139" s="63">
        <v>1</v>
      </c>
      <c r="G139" s="61">
        <v>-813226</v>
      </c>
      <c r="H139" s="61">
        <f t="shared" si="27"/>
        <v>-813226000</v>
      </c>
      <c r="I139" s="146">
        <f t="shared" si="28"/>
        <v>0.55900000000000005</v>
      </c>
      <c r="J139" s="61">
        <f t="shared" si="29"/>
        <v>-1454787119.8568871</v>
      </c>
      <c r="K139" s="61">
        <f t="shared" si="30"/>
        <v>5333914000</v>
      </c>
      <c r="L139" s="61">
        <f t="shared" si="31"/>
        <v>14516456000</v>
      </c>
      <c r="M139" s="61">
        <f t="shared" si="32"/>
        <v>3617130000</v>
      </c>
      <c r="N139" s="86">
        <v>41.076700000000002</v>
      </c>
      <c r="O139" s="80">
        <f t="shared" si="33"/>
        <v>1.3608688137070408E-2</v>
      </c>
      <c r="P139" s="61">
        <f t="shared" si="34"/>
        <v>129852544.14302999</v>
      </c>
      <c r="Q139" s="61">
        <f t="shared" si="35"/>
        <v>353398788.12075943</v>
      </c>
      <c r="R139" s="61">
        <f t="shared" si="36"/>
        <v>88057950.127444506</v>
      </c>
      <c r="S139" s="61">
        <v>5333914</v>
      </c>
      <c r="T139" s="61">
        <v>1326177</v>
      </c>
      <c r="U139" s="61">
        <v>1326177</v>
      </c>
      <c r="V139" s="61">
        <v>0</v>
      </c>
      <c r="W139" s="61">
        <v>1295275</v>
      </c>
      <c r="X139" s="61">
        <v>413811</v>
      </c>
      <c r="Y139" s="61">
        <v>881464</v>
      </c>
      <c r="Z139" s="61">
        <v>0</v>
      </c>
      <c r="AA139" s="61">
        <v>4007737</v>
      </c>
      <c r="AB139" s="61">
        <v>105810</v>
      </c>
      <c r="AC139" s="61">
        <v>3901927</v>
      </c>
      <c r="AD139" s="61">
        <v>14516456</v>
      </c>
      <c r="AE139" s="61">
        <v>19037144</v>
      </c>
      <c r="AF139" s="61">
        <v>15420014</v>
      </c>
      <c r="AG139" s="61">
        <v>156357</v>
      </c>
      <c r="AH139" s="61">
        <v>155311</v>
      </c>
      <c r="AI139" s="61">
        <v>0</v>
      </c>
      <c r="AJ139" s="61">
        <v>138312</v>
      </c>
      <c r="AK139" s="61">
        <v>16999</v>
      </c>
      <c r="AL139" s="61">
        <v>1046</v>
      </c>
      <c r="AM139" s="61">
        <v>14997</v>
      </c>
      <c r="AN139" s="61">
        <v>0</v>
      </c>
      <c r="AO139" s="61">
        <v>5227.2635</v>
      </c>
      <c r="AP139" s="61">
        <v>33994.302900000002</v>
      </c>
      <c r="AQ139" s="61">
        <v>15209438.433600001</v>
      </c>
      <c r="AR139" s="61">
        <v>3617130</v>
      </c>
      <c r="AS139" s="61">
        <v>3037023</v>
      </c>
      <c r="AT139" s="61">
        <v>2255675</v>
      </c>
      <c r="AU139" s="61">
        <v>781348</v>
      </c>
      <c r="AV139" s="61">
        <v>580107</v>
      </c>
      <c r="AW139" s="65">
        <v>0.55900000000000005</v>
      </c>
      <c r="AX139">
        <f t="shared" si="26"/>
        <v>55900000.000000007</v>
      </c>
      <c r="AY139" s="78">
        <f t="shared" si="37"/>
        <v>0.55900000000000005</v>
      </c>
      <c r="BA139" s="66">
        <v>1990</v>
      </c>
      <c r="BB139" s="75">
        <v>0.51337500000000003</v>
      </c>
      <c r="BC139">
        <f>+BB139*100000000</f>
        <v>51337500</v>
      </c>
    </row>
    <row r="140" spans="1:55" x14ac:dyDescent="0.25">
      <c r="A140" s="62">
        <v>1991.01</v>
      </c>
      <c r="B140" s="56" t="s">
        <v>108</v>
      </c>
      <c r="C140" s="57">
        <v>1991.01</v>
      </c>
      <c r="D140" s="54" t="s">
        <v>112</v>
      </c>
      <c r="E140" s="54">
        <v>1000</v>
      </c>
      <c r="F140" s="63">
        <v>1</v>
      </c>
      <c r="G140" s="61">
        <v>-3778729</v>
      </c>
      <c r="H140" s="61">
        <f t="shared" si="27"/>
        <v>-3778729000</v>
      </c>
      <c r="I140" s="146">
        <f t="shared" si="28"/>
        <v>0.94299999999999995</v>
      </c>
      <c r="J140" s="61">
        <f t="shared" si="29"/>
        <v>-4007135737.0095444</v>
      </c>
      <c r="K140" s="61">
        <f t="shared" si="30"/>
        <v>8077469000</v>
      </c>
      <c r="L140" s="61">
        <f t="shared" si="31"/>
        <v>15108770000</v>
      </c>
      <c r="M140" s="61">
        <f t="shared" si="32"/>
        <v>3511157000</v>
      </c>
      <c r="N140" s="86">
        <v>44.238999999999997</v>
      </c>
      <c r="O140" s="80">
        <f t="shared" si="33"/>
        <v>2.1316033364226137E-2</v>
      </c>
      <c r="P140" s="61">
        <f t="shared" si="34"/>
        <v>182587061.19035241</v>
      </c>
      <c r="Q140" s="61">
        <f t="shared" si="35"/>
        <v>341526029.06937319</v>
      </c>
      <c r="R140" s="61">
        <f t="shared" si="36"/>
        <v>79367910.667058483</v>
      </c>
      <c r="S140" s="61">
        <v>8077469</v>
      </c>
      <c r="T140" s="61">
        <v>1436680</v>
      </c>
      <c r="U140" s="61">
        <v>1436680</v>
      </c>
      <c r="V140" s="61">
        <v>76987</v>
      </c>
      <c r="W140" s="61">
        <v>1328791</v>
      </c>
      <c r="X140" s="61">
        <v>447327</v>
      </c>
      <c r="Y140" s="61">
        <v>881464</v>
      </c>
      <c r="Z140" s="61">
        <v>0</v>
      </c>
      <c r="AA140" s="61">
        <v>6640789</v>
      </c>
      <c r="AB140" s="61">
        <v>60658</v>
      </c>
      <c r="AC140" s="61">
        <v>6580131</v>
      </c>
      <c r="AD140" s="61">
        <v>15108770</v>
      </c>
      <c r="AE140" s="61">
        <v>19407510</v>
      </c>
      <c r="AF140" s="61">
        <v>15896353</v>
      </c>
      <c r="AG140" s="61">
        <v>168534</v>
      </c>
      <c r="AH140" s="61">
        <v>167617</v>
      </c>
      <c r="AI140" s="61">
        <v>0</v>
      </c>
      <c r="AJ140" s="61">
        <v>167612</v>
      </c>
      <c r="AK140" s="61">
        <v>5</v>
      </c>
      <c r="AL140" s="61">
        <v>917</v>
      </c>
      <c r="AM140" s="61">
        <v>9436</v>
      </c>
      <c r="AN140" s="61">
        <v>0</v>
      </c>
      <c r="AO140" s="61">
        <v>5131.8114999999998</v>
      </c>
      <c r="AP140" s="61">
        <v>29338.867600000001</v>
      </c>
      <c r="AQ140" s="61">
        <v>15683912.320900001</v>
      </c>
      <c r="AR140" s="61">
        <v>3511157</v>
      </c>
      <c r="AS140" s="61">
        <v>2876571</v>
      </c>
      <c r="AT140" s="61">
        <v>2017409</v>
      </c>
      <c r="AU140" s="61">
        <v>859162</v>
      </c>
      <c r="AV140" s="61">
        <v>634586</v>
      </c>
      <c r="AW140" s="65">
        <v>0.94299999999999995</v>
      </c>
      <c r="AX140">
        <f t="shared" si="26"/>
        <v>94300000</v>
      </c>
      <c r="AY140" s="78">
        <f t="shared" si="37"/>
        <v>0.94299999999999995</v>
      </c>
    </row>
    <row r="141" spans="1:55" x14ac:dyDescent="0.25">
      <c r="A141" s="57"/>
      <c r="B141" s="56" t="s">
        <v>104</v>
      </c>
      <c r="C141" s="57">
        <v>1991.02</v>
      </c>
      <c r="D141" s="54" t="s">
        <v>112</v>
      </c>
      <c r="E141" s="54">
        <v>1000</v>
      </c>
      <c r="F141" s="63">
        <v>1</v>
      </c>
      <c r="G141" s="61">
        <v>-4285031</v>
      </c>
      <c r="H141" s="61">
        <f t="shared" si="27"/>
        <v>-4285031000</v>
      </c>
      <c r="I141" s="146">
        <f t="shared" si="28"/>
        <v>0.999</v>
      </c>
      <c r="J141" s="61">
        <f t="shared" si="29"/>
        <v>-4289320320.3203201</v>
      </c>
      <c r="K141" s="61">
        <f t="shared" si="30"/>
        <v>9335291000</v>
      </c>
      <c r="L141" s="61">
        <f t="shared" si="31"/>
        <v>15818389000</v>
      </c>
      <c r="M141" s="61">
        <f t="shared" si="32"/>
        <v>4130282000</v>
      </c>
      <c r="N141" s="86">
        <v>56.179299999999998</v>
      </c>
      <c r="O141" s="80">
        <f t="shared" si="33"/>
        <v>1.7782350438684712E-2</v>
      </c>
      <c r="P141" s="61">
        <f t="shared" si="34"/>
        <v>166169585.59469414</v>
      </c>
      <c r="Q141" s="61">
        <f t="shared" si="35"/>
        <v>281569706.27971512</v>
      </c>
      <c r="R141" s="61">
        <f t="shared" si="36"/>
        <v>73519641.576167732</v>
      </c>
      <c r="S141" s="61">
        <v>9335291</v>
      </c>
      <c r="T141" s="61">
        <v>2185740</v>
      </c>
      <c r="U141" s="61">
        <v>2185740</v>
      </c>
      <c r="V141" s="61">
        <v>878944</v>
      </c>
      <c r="W141" s="61">
        <v>1260961</v>
      </c>
      <c r="X141" s="61">
        <v>379497</v>
      </c>
      <c r="Y141" s="61">
        <v>881464</v>
      </c>
      <c r="Z141" s="61">
        <v>14933</v>
      </c>
      <c r="AA141" s="61">
        <v>7149551</v>
      </c>
      <c r="AB141" s="61">
        <v>177829</v>
      </c>
      <c r="AC141" s="61">
        <v>6971722</v>
      </c>
      <c r="AD141" s="61">
        <v>15818389</v>
      </c>
      <c r="AE141" s="61">
        <v>20868649</v>
      </c>
      <c r="AF141" s="61">
        <v>16738367</v>
      </c>
      <c r="AG141" s="61">
        <v>447457</v>
      </c>
      <c r="AH141" s="61">
        <v>444022</v>
      </c>
      <c r="AI141" s="61">
        <v>6228</v>
      </c>
      <c r="AJ141" s="61">
        <v>437794</v>
      </c>
      <c r="AK141" s="61">
        <v>0</v>
      </c>
      <c r="AL141" s="61">
        <v>3435</v>
      </c>
      <c r="AM141" s="61">
        <v>7980</v>
      </c>
      <c r="AN141" s="61">
        <v>0</v>
      </c>
      <c r="AO141" s="61">
        <v>5007.0141000000003</v>
      </c>
      <c r="AP141" s="61">
        <v>29641.406800000001</v>
      </c>
      <c r="AQ141" s="61">
        <v>16248281.5791</v>
      </c>
      <c r="AR141" s="61">
        <v>4130282</v>
      </c>
      <c r="AS141" s="61">
        <v>3127028</v>
      </c>
      <c r="AT141" s="61">
        <v>2136271</v>
      </c>
      <c r="AU141" s="61">
        <v>990757</v>
      </c>
      <c r="AV141" s="61">
        <v>1003254</v>
      </c>
      <c r="AW141" s="65">
        <v>0.999</v>
      </c>
      <c r="AX141">
        <f t="shared" si="26"/>
        <v>99900000</v>
      </c>
      <c r="AY141" s="78">
        <f t="shared" si="37"/>
        <v>0.999</v>
      </c>
    </row>
    <row r="142" spans="1:55" x14ac:dyDescent="0.25">
      <c r="A142" s="57"/>
      <c r="B142" s="56" t="s">
        <v>105</v>
      </c>
      <c r="C142" s="57">
        <v>1991.03</v>
      </c>
      <c r="D142" s="54" t="s">
        <v>112</v>
      </c>
      <c r="E142" s="54">
        <v>1000</v>
      </c>
      <c r="F142" s="63">
        <v>1</v>
      </c>
      <c r="G142" s="61">
        <v>-4716637</v>
      </c>
      <c r="H142" s="61">
        <f t="shared" si="27"/>
        <v>-4716637000</v>
      </c>
      <c r="I142" s="146">
        <f t="shared" si="28"/>
        <v>0.96350000000000002</v>
      </c>
      <c r="J142" s="61">
        <f t="shared" si="29"/>
        <v>-4895316035.2880125</v>
      </c>
      <c r="K142" s="61">
        <f t="shared" si="30"/>
        <v>9886770000</v>
      </c>
      <c r="L142" s="61">
        <f t="shared" si="31"/>
        <v>19782232000</v>
      </c>
      <c r="M142" s="61">
        <f t="shared" si="32"/>
        <v>4799521000</v>
      </c>
      <c r="N142" s="86">
        <v>62.382800000000003</v>
      </c>
      <c r="O142" s="80">
        <f t="shared" si="33"/>
        <v>1.5444962393480253E-2</v>
      </c>
      <c r="P142" s="61">
        <f t="shared" si="34"/>
        <v>158485512.0321627</v>
      </c>
      <c r="Q142" s="61">
        <f t="shared" si="35"/>
        <v>317110357.34208786</v>
      </c>
      <c r="R142" s="61">
        <f t="shared" si="36"/>
        <v>76936607.526433557</v>
      </c>
      <c r="S142" s="61">
        <v>9886770</v>
      </c>
      <c r="T142" s="61">
        <v>2287003</v>
      </c>
      <c r="U142" s="61">
        <v>2287003</v>
      </c>
      <c r="V142" s="61">
        <v>850725</v>
      </c>
      <c r="W142" s="61">
        <v>1355074</v>
      </c>
      <c r="X142" s="61">
        <v>473610</v>
      </c>
      <c r="Y142" s="61">
        <v>881464</v>
      </c>
      <c r="Z142" s="61">
        <v>50302</v>
      </c>
      <c r="AA142" s="61">
        <v>7599767</v>
      </c>
      <c r="AB142" s="61">
        <v>862300</v>
      </c>
      <c r="AC142" s="61">
        <v>6737467</v>
      </c>
      <c r="AD142" s="61">
        <v>19782232</v>
      </c>
      <c r="AE142" s="61">
        <v>24952365</v>
      </c>
      <c r="AF142" s="61">
        <v>20152844</v>
      </c>
      <c r="AG142" s="61">
        <v>30546</v>
      </c>
      <c r="AH142" s="61">
        <v>28064</v>
      </c>
      <c r="AI142" s="61">
        <v>2253</v>
      </c>
      <c r="AJ142" s="61">
        <v>25811</v>
      </c>
      <c r="AK142" s="61">
        <v>0</v>
      </c>
      <c r="AL142" s="61">
        <v>2482</v>
      </c>
      <c r="AM142" s="61">
        <v>7970</v>
      </c>
      <c r="AN142" s="61">
        <v>0</v>
      </c>
      <c r="AO142" s="61">
        <v>5005.3177999999998</v>
      </c>
      <c r="AP142" s="61">
        <v>32056.237099999998</v>
      </c>
      <c r="AQ142" s="61">
        <v>20077266.445099998</v>
      </c>
      <c r="AR142" s="61">
        <v>4799521</v>
      </c>
      <c r="AS142" s="61">
        <v>3374915</v>
      </c>
      <c r="AT142" s="61">
        <v>2426116</v>
      </c>
      <c r="AU142" s="61">
        <v>948799</v>
      </c>
      <c r="AV142" s="61">
        <v>1424606</v>
      </c>
      <c r="AW142" s="65">
        <v>0.96350000000000002</v>
      </c>
      <c r="AX142">
        <f t="shared" si="26"/>
        <v>96350000</v>
      </c>
      <c r="AY142" s="78">
        <f t="shared" si="37"/>
        <v>0.96350000000000002</v>
      </c>
    </row>
    <row r="143" spans="1:55" x14ac:dyDescent="0.25">
      <c r="A143" s="57"/>
      <c r="B143" s="56" t="s">
        <v>106</v>
      </c>
      <c r="C143" s="57">
        <v>1991.04</v>
      </c>
      <c r="D143" s="54" t="s">
        <v>112</v>
      </c>
      <c r="E143" s="54">
        <v>1000</v>
      </c>
      <c r="F143" s="63">
        <v>1</v>
      </c>
      <c r="G143" s="61">
        <v>-4415522</v>
      </c>
      <c r="H143" s="61">
        <f t="shared" si="27"/>
        <v>-4415522000</v>
      </c>
      <c r="I143" s="146">
        <f t="shared" si="28"/>
        <v>0.98099999999999998</v>
      </c>
      <c r="J143" s="61">
        <f t="shared" si="29"/>
        <v>-4501041794.0876656</v>
      </c>
      <c r="K143" s="61">
        <f t="shared" si="30"/>
        <v>10067654000</v>
      </c>
      <c r="L143" s="61">
        <f t="shared" si="31"/>
        <v>19908307000</v>
      </c>
      <c r="M143" s="61">
        <f t="shared" si="32"/>
        <v>4906162000</v>
      </c>
      <c r="N143" s="86">
        <v>65.820400000000006</v>
      </c>
      <c r="O143" s="80">
        <f t="shared" si="33"/>
        <v>1.4904193836561308E-2</v>
      </c>
      <c r="P143" s="61">
        <f t="shared" si="34"/>
        <v>152956439.03713742</v>
      </c>
      <c r="Q143" s="61">
        <f t="shared" si="35"/>
        <v>302464084.08335406</v>
      </c>
      <c r="R143" s="61">
        <f t="shared" si="36"/>
        <v>74538623.28396666</v>
      </c>
      <c r="S143" s="61">
        <v>10067654</v>
      </c>
      <c r="T143" s="61">
        <v>2249108</v>
      </c>
      <c r="U143" s="61">
        <v>2249108</v>
      </c>
      <c r="V143" s="61">
        <v>857378</v>
      </c>
      <c r="W143" s="61">
        <v>1360828</v>
      </c>
      <c r="X143" s="61">
        <v>479364</v>
      </c>
      <c r="Y143" s="61">
        <v>881464</v>
      </c>
      <c r="Z143" s="61">
        <v>0</v>
      </c>
      <c r="AA143" s="61">
        <v>7818546</v>
      </c>
      <c r="AB143" s="61">
        <v>965700</v>
      </c>
      <c r="AC143" s="61">
        <v>6852846</v>
      </c>
      <c r="AD143" s="61">
        <v>19908307</v>
      </c>
      <c r="AE143" s="61">
        <v>25560439</v>
      </c>
      <c r="AF143" s="61">
        <v>20654277</v>
      </c>
      <c r="AG143" s="61">
        <v>50410</v>
      </c>
      <c r="AH143" s="61">
        <v>48620</v>
      </c>
      <c r="AI143" s="61">
        <v>9407</v>
      </c>
      <c r="AJ143" s="61">
        <v>39213</v>
      </c>
      <c r="AK143" s="61">
        <v>0</v>
      </c>
      <c r="AL143" s="61">
        <v>1790</v>
      </c>
      <c r="AM143" s="61">
        <v>7967</v>
      </c>
      <c r="AN143" s="61">
        <v>0</v>
      </c>
      <c r="AO143" s="61">
        <v>5005.3177999999998</v>
      </c>
      <c r="AP143" s="61">
        <v>32016.970099999999</v>
      </c>
      <c r="AQ143" s="61">
        <v>20558877.712099999</v>
      </c>
      <c r="AR143" s="61">
        <v>4906162</v>
      </c>
      <c r="AS143" s="61">
        <v>3913082</v>
      </c>
      <c r="AT143" s="61">
        <v>2813251</v>
      </c>
      <c r="AU143" s="61">
        <v>1099831</v>
      </c>
      <c r="AV143" s="61">
        <v>993080</v>
      </c>
      <c r="AW143" s="65">
        <v>0.98099999999999998</v>
      </c>
      <c r="AX143">
        <f t="shared" si="26"/>
        <v>98100000</v>
      </c>
      <c r="AY143" s="78">
        <f t="shared" si="37"/>
        <v>0.98099999999999998</v>
      </c>
    </row>
    <row r="144" spans="1:55" x14ac:dyDescent="0.25">
      <c r="A144" s="57"/>
      <c r="B144" s="56" t="s">
        <v>107</v>
      </c>
      <c r="C144" s="57">
        <v>1991.05</v>
      </c>
      <c r="D144" s="54" t="s">
        <v>112</v>
      </c>
      <c r="E144" s="54">
        <v>1000</v>
      </c>
      <c r="F144" s="63">
        <v>1</v>
      </c>
      <c r="G144" s="61">
        <v>-3918440</v>
      </c>
      <c r="H144" s="61">
        <f t="shared" si="27"/>
        <v>-3918440000</v>
      </c>
      <c r="I144" s="146">
        <f t="shared" si="28"/>
        <v>0.99099999999999999</v>
      </c>
      <c r="J144" s="61">
        <f t="shared" si="29"/>
        <v>-3954026236.1251264</v>
      </c>
      <c r="K144" s="61">
        <f t="shared" si="30"/>
        <v>10191082000</v>
      </c>
      <c r="L144" s="61">
        <f t="shared" si="31"/>
        <v>20152004000</v>
      </c>
      <c r="M144" s="61">
        <f t="shared" si="32"/>
        <v>5498102000</v>
      </c>
      <c r="N144" s="86">
        <v>67.666399999999996</v>
      </c>
      <c r="O144" s="80">
        <f t="shared" si="33"/>
        <v>1.4645377912819361E-2</v>
      </c>
      <c r="P144" s="61">
        <f t="shared" si="34"/>
        <v>150607716.68065688</v>
      </c>
      <c r="Q144" s="61">
        <f t="shared" si="35"/>
        <v>297814040.6464656</v>
      </c>
      <c r="R144" s="61">
        <f t="shared" si="36"/>
        <v>81253059.125356168</v>
      </c>
      <c r="S144" s="61">
        <v>10191082</v>
      </c>
      <c r="T144" s="61">
        <v>2231309</v>
      </c>
      <c r="U144" s="61">
        <v>2231309</v>
      </c>
      <c r="V144" s="61">
        <v>834334</v>
      </c>
      <c r="W144" s="61">
        <v>1366073</v>
      </c>
      <c r="X144" s="61">
        <v>484609</v>
      </c>
      <c r="Y144" s="61">
        <v>881464</v>
      </c>
      <c r="Z144" s="61">
        <v>0</v>
      </c>
      <c r="AA144" s="61">
        <v>7959773</v>
      </c>
      <c r="AB144" s="61">
        <v>1037000</v>
      </c>
      <c r="AC144" s="61">
        <v>6922773</v>
      </c>
      <c r="AD144" s="61">
        <v>20152004</v>
      </c>
      <c r="AE144" s="61">
        <v>26424646</v>
      </c>
      <c r="AF144" s="61">
        <v>20926544</v>
      </c>
      <c r="AG144" s="61">
        <v>11914</v>
      </c>
      <c r="AH144" s="61">
        <v>9662</v>
      </c>
      <c r="AI144" s="61">
        <v>884</v>
      </c>
      <c r="AJ144" s="61">
        <v>8778</v>
      </c>
      <c r="AK144" s="61">
        <v>0</v>
      </c>
      <c r="AL144" s="61">
        <v>2252</v>
      </c>
      <c r="AM144" s="61">
        <v>7967</v>
      </c>
      <c r="AN144" s="61">
        <v>0</v>
      </c>
      <c r="AO144" s="61">
        <v>5005.3177999999998</v>
      </c>
      <c r="AP144" s="61">
        <v>47466.1423</v>
      </c>
      <c r="AQ144" s="61">
        <v>20854191.539900001</v>
      </c>
      <c r="AR144" s="61">
        <v>5498102</v>
      </c>
      <c r="AS144" s="61">
        <v>4254456</v>
      </c>
      <c r="AT144" s="61">
        <v>2885216</v>
      </c>
      <c r="AU144" s="61">
        <v>1369240</v>
      </c>
      <c r="AV144" s="61">
        <v>1243646</v>
      </c>
      <c r="AW144" s="65">
        <v>0.99099999999999999</v>
      </c>
      <c r="AX144">
        <f t="shared" si="26"/>
        <v>99100000</v>
      </c>
      <c r="AY144" s="78">
        <f t="shared" si="37"/>
        <v>0.99099999999999999</v>
      </c>
    </row>
    <row r="145" spans="1:55" x14ac:dyDescent="0.25">
      <c r="A145" s="57"/>
      <c r="B145" s="56" t="s">
        <v>96</v>
      </c>
      <c r="C145" s="57">
        <v>1991.06</v>
      </c>
      <c r="D145" s="54" t="s">
        <v>112</v>
      </c>
      <c r="E145" s="54">
        <v>1000</v>
      </c>
      <c r="F145" s="63">
        <v>1</v>
      </c>
      <c r="G145" s="61">
        <v>-3458686</v>
      </c>
      <c r="H145" s="61">
        <f t="shared" si="27"/>
        <v>-3458686000</v>
      </c>
      <c r="I145" s="146">
        <f t="shared" si="28"/>
        <v>0.99750000000000005</v>
      </c>
      <c r="J145" s="61">
        <f t="shared" si="29"/>
        <v>-3467354385.9649119</v>
      </c>
      <c r="K145" s="61">
        <f t="shared" si="30"/>
        <v>10219411000</v>
      </c>
      <c r="L145" s="61">
        <f t="shared" si="31"/>
        <v>20406751000</v>
      </c>
      <c r="M145" s="61">
        <f t="shared" si="32"/>
        <v>5616150000</v>
      </c>
      <c r="N145" s="86">
        <v>69.780100000000004</v>
      </c>
      <c r="O145" s="80">
        <f t="shared" si="33"/>
        <v>1.4294906427477175E-2</v>
      </c>
      <c r="P145" s="61">
        <f t="shared" si="34"/>
        <v>146451653.12173527</v>
      </c>
      <c r="Q145" s="61">
        <f t="shared" si="35"/>
        <v>292443705.29706889</v>
      </c>
      <c r="R145" s="61">
        <f t="shared" si="36"/>
        <v>80483547.60168013</v>
      </c>
      <c r="S145" s="61">
        <v>10219411</v>
      </c>
      <c r="T145" s="61">
        <v>2254985</v>
      </c>
      <c r="U145" s="61">
        <v>2254985</v>
      </c>
      <c r="V145" s="61">
        <v>809747</v>
      </c>
      <c r="W145" s="61">
        <v>1414336</v>
      </c>
      <c r="X145" s="61">
        <v>532872</v>
      </c>
      <c r="Y145" s="61">
        <v>881464</v>
      </c>
      <c r="Z145" s="61">
        <v>0</v>
      </c>
      <c r="AA145" s="61">
        <v>7964426</v>
      </c>
      <c r="AB145" s="61">
        <v>996200</v>
      </c>
      <c r="AC145" s="61">
        <v>6968226</v>
      </c>
      <c r="AD145" s="61">
        <v>20406751</v>
      </c>
      <c r="AE145" s="61">
        <v>27167476</v>
      </c>
      <c r="AF145" s="61">
        <v>21551326</v>
      </c>
      <c r="AG145" s="61">
        <v>24622</v>
      </c>
      <c r="AH145" s="61">
        <v>23219</v>
      </c>
      <c r="AI145" s="61">
        <v>3888</v>
      </c>
      <c r="AJ145" s="61">
        <v>16922</v>
      </c>
      <c r="AK145" s="61">
        <v>2409</v>
      </c>
      <c r="AL145" s="61">
        <v>1403</v>
      </c>
      <c r="AM145" s="61">
        <v>11213</v>
      </c>
      <c r="AN145" s="61">
        <v>0</v>
      </c>
      <c r="AO145" s="61">
        <v>4998.4390000000003</v>
      </c>
      <c r="AP145" s="61">
        <v>47192.013099999996</v>
      </c>
      <c r="AQ145" s="61">
        <v>21463300.547900002</v>
      </c>
      <c r="AR145" s="61">
        <v>5616150</v>
      </c>
      <c r="AS145" s="61">
        <v>4728596</v>
      </c>
      <c r="AT145" s="61">
        <v>3451304</v>
      </c>
      <c r="AU145" s="61">
        <v>1277292</v>
      </c>
      <c r="AV145" s="61">
        <v>887554</v>
      </c>
      <c r="AW145" s="65">
        <v>0.99750000000000005</v>
      </c>
      <c r="AX145">
        <f t="shared" si="26"/>
        <v>99750000</v>
      </c>
      <c r="AY145" s="78">
        <f t="shared" si="37"/>
        <v>0.99750000000000005</v>
      </c>
    </row>
    <row r="146" spans="1:55" x14ac:dyDescent="0.25">
      <c r="A146" s="57"/>
      <c r="B146" s="56" t="s">
        <v>97</v>
      </c>
      <c r="C146" s="57">
        <v>1991.07</v>
      </c>
      <c r="D146" s="54" t="s">
        <v>112</v>
      </c>
      <c r="E146" s="54">
        <v>1000</v>
      </c>
      <c r="F146" s="63">
        <v>1</v>
      </c>
      <c r="G146" s="61">
        <v>-3346700</v>
      </c>
      <c r="H146" s="61">
        <f t="shared" si="27"/>
        <v>-3346700000</v>
      </c>
      <c r="I146" s="146">
        <f t="shared" si="28"/>
        <v>0.996</v>
      </c>
      <c r="J146" s="61">
        <f t="shared" si="29"/>
        <v>-3360140562.2489958</v>
      </c>
      <c r="K146" s="61">
        <f t="shared" si="30"/>
        <v>10200931000</v>
      </c>
      <c r="L146" s="61">
        <f t="shared" si="31"/>
        <v>20601802000</v>
      </c>
      <c r="M146" s="61">
        <f t="shared" si="32"/>
        <v>6014394000</v>
      </c>
      <c r="N146" s="86">
        <v>71.588099999999997</v>
      </c>
      <c r="O146" s="80">
        <f t="shared" si="33"/>
        <v>1.3912926869130484E-2</v>
      </c>
      <c r="P146" s="61">
        <f t="shared" si="34"/>
        <v>142494786.14462459</v>
      </c>
      <c r="Q146" s="61">
        <f t="shared" si="35"/>
        <v>287782494.57661259</v>
      </c>
      <c r="R146" s="61">
        <f t="shared" si="36"/>
        <v>84013879.401744142</v>
      </c>
      <c r="S146" s="61">
        <v>10200931</v>
      </c>
      <c r="T146" s="61">
        <v>2259694</v>
      </c>
      <c r="U146" s="61">
        <v>2259694</v>
      </c>
      <c r="V146" s="61">
        <v>809747</v>
      </c>
      <c r="W146" s="61">
        <v>1403131</v>
      </c>
      <c r="X146" s="61">
        <v>521667</v>
      </c>
      <c r="Y146" s="61">
        <v>881464</v>
      </c>
      <c r="Z146" s="61">
        <v>15914</v>
      </c>
      <c r="AA146" s="61">
        <v>7941237</v>
      </c>
      <c r="AB146" s="61">
        <v>983500</v>
      </c>
      <c r="AC146" s="61">
        <v>6957737</v>
      </c>
      <c r="AD146" s="61">
        <v>20601802</v>
      </c>
      <c r="AE146" s="61">
        <v>27456033</v>
      </c>
      <c r="AF146" s="61">
        <v>21441639</v>
      </c>
      <c r="AG146" s="61">
        <v>24100</v>
      </c>
      <c r="AH146" s="61">
        <v>21668</v>
      </c>
      <c r="AI146" s="61">
        <v>1134</v>
      </c>
      <c r="AJ146" s="61">
        <v>17500</v>
      </c>
      <c r="AK146" s="61">
        <v>3034</v>
      </c>
      <c r="AL146" s="61">
        <v>2432</v>
      </c>
      <c r="AM146" s="61">
        <v>9348</v>
      </c>
      <c r="AN146" s="61">
        <v>0</v>
      </c>
      <c r="AO146" s="61">
        <v>5060.3765999999996</v>
      </c>
      <c r="AP146" s="61">
        <v>45367.139499999997</v>
      </c>
      <c r="AQ146" s="61">
        <v>21357763.483899999</v>
      </c>
      <c r="AR146" s="61">
        <v>6014394</v>
      </c>
      <c r="AS146" s="61">
        <v>4961628</v>
      </c>
      <c r="AT146" s="61">
        <v>3526839</v>
      </c>
      <c r="AU146" s="61">
        <v>1434789</v>
      </c>
      <c r="AV146" s="61">
        <v>1052766</v>
      </c>
      <c r="AW146" s="65">
        <v>0.996</v>
      </c>
      <c r="AX146">
        <f t="shared" si="26"/>
        <v>99600000</v>
      </c>
      <c r="AY146" s="78">
        <f t="shared" si="37"/>
        <v>0.996</v>
      </c>
    </row>
    <row r="147" spans="1:55" x14ac:dyDescent="0.25">
      <c r="A147" s="57"/>
      <c r="B147" s="56" t="s">
        <v>98</v>
      </c>
      <c r="C147" s="57">
        <v>1991.08</v>
      </c>
      <c r="D147" s="54" t="s">
        <v>112</v>
      </c>
      <c r="E147" s="54">
        <v>1000</v>
      </c>
      <c r="F147" s="63">
        <v>1</v>
      </c>
      <c r="G147" s="61">
        <v>-2768224</v>
      </c>
      <c r="H147" s="61">
        <f t="shared" si="27"/>
        <v>-2768224000</v>
      </c>
      <c r="I147" s="146">
        <f t="shared" si="28"/>
        <v>0.99650000000000005</v>
      </c>
      <c r="J147" s="61">
        <f t="shared" si="29"/>
        <v>-2777946813.8484697</v>
      </c>
      <c r="K147" s="61">
        <f t="shared" si="30"/>
        <v>10543200000</v>
      </c>
      <c r="L147" s="61">
        <f t="shared" si="31"/>
        <v>20852482000</v>
      </c>
      <c r="M147" s="61">
        <f t="shared" si="32"/>
        <v>6140136000</v>
      </c>
      <c r="N147" s="86">
        <v>72.519400000000005</v>
      </c>
      <c r="O147" s="80">
        <f t="shared" si="33"/>
        <v>1.3741150643827721E-2</v>
      </c>
      <c r="P147" s="61">
        <f t="shared" si="34"/>
        <v>145384545.37682331</v>
      </c>
      <c r="Q147" s="61">
        <f t="shared" si="35"/>
        <v>287543498.70517403</v>
      </c>
      <c r="R147" s="61">
        <f t="shared" si="36"/>
        <v>84668874.811429769</v>
      </c>
      <c r="S147" s="61">
        <v>10543200</v>
      </c>
      <c r="T147" s="61">
        <v>2264937</v>
      </c>
      <c r="U147" s="61">
        <v>2264937</v>
      </c>
      <c r="V147" s="61">
        <v>809747</v>
      </c>
      <c r="W147" s="61">
        <v>1403069</v>
      </c>
      <c r="X147" s="61">
        <v>521605</v>
      </c>
      <c r="Y147" s="61">
        <v>881464</v>
      </c>
      <c r="Z147" s="61">
        <v>21219</v>
      </c>
      <c r="AA147" s="61">
        <v>8278263</v>
      </c>
      <c r="AB147" s="61">
        <v>1122647</v>
      </c>
      <c r="AC147" s="61">
        <v>7155616</v>
      </c>
      <c r="AD147" s="61">
        <v>20852482</v>
      </c>
      <c r="AE147" s="61">
        <v>28627458</v>
      </c>
      <c r="AF147" s="61">
        <v>22487322</v>
      </c>
      <c r="AG147" s="61">
        <v>178884</v>
      </c>
      <c r="AH147" s="61">
        <v>175573</v>
      </c>
      <c r="AI147" s="61">
        <v>1904</v>
      </c>
      <c r="AJ147" s="61">
        <v>167720</v>
      </c>
      <c r="AK147" s="61">
        <v>5949</v>
      </c>
      <c r="AL147" s="61">
        <v>3311</v>
      </c>
      <c r="AM147" s="61">
        <v>8608</v>
      </c>
      <c r="AN147" s="61">
        <v>0</v>
      </c>
      <c r="AO147" s="61">
        <v>5059.7412999999997</v>
      </c>
      <c r="AP147" s="61">
        <v>45958.197999999997</v>
      </c>
      <c r="AQ147" s="61">
        <v>22248812.060699999</v>
      </c>
      <c r="AR147" s="61">
        <v>6140136</v>
      </c>
      <c r="AS147" s="61">
        <v>5021510</v>
      </c>
      <c r="AT147" s="61">
        <v>3748931</v>
      </c>
      <c r="AU147" s="61">
        <v>1272579</v>
      </c>
      <c r="AV147" s="61">
        <v>1118626</v>
      </c>
      <c r="AW147" s="65">
        <v>0.99650000000000005</v>
      </c>
      <c r="AX147">
        <f t="shared" si="26"/>
        <v>99650000</v>
      </c>
      <c r="AY147" s="78">
        <f t="shared" si="37"/>
        <v>0.99650000000000005</v>
      </c>
    </row>
    <row r="148" spans="1:55" x14ac:dyDescent="0.25">
      <c r="A148" s="57"/>
      <c r="B148" s="56" t="s">
        <v>99</v>
      </c>
      <c r="C148" s="57">
        <v>1991.09</v>
      </c>
      <c r="D148" s="54" t="s">
        <v>112</v>
      </c>
      <c r="E148" s="54">
        <v>1000</v>
      </c>
      <c r="F148" s="63">
        <v>1</v>
      </c>
      <c r="G148" s="61">
        <v>-2018373</v>
      </c>
      <c r="H148" s="61">
        <f t="shared" si="27"/>
        <v>-2018373000</v>
      </c>
      <c r="I148" s="146">
        <f t="shared" si="28"/>
        <v>0.99099999999999999</v>
      </c>
      <c r="J148" s="61">
        <f t="shared" si="29"/>
        <v>-2036703329.9697275</v>
      </c>
      <c r="K148" s="61">
        <f t="shared" si="30"/>
        <v>10628556000</v>
      </c>
      <c r="L148" s="61">
        <f t="shared" si="31"/>
        <v>21026890000</v>
      </c>
      <c r="M148" s="61">
        <f t="shared" si="32"/>
        <v>6558007000</v>
      </c>
      <c r="N148" s="86">
        <v>73.800399999999996</v>
      </c>
      <c r="O148" s="80">
        <f t="shared" si="33"/>
        <v>1.3428111500750675E-2</v>
      </c>
      <c r="P148" s="61">
        <f t="shared" si="34"/>
        <v>144017593.40057778</v>
      </c>
      <c r="Q148" s="61">
        <f t="shared" si="35"/>
        <v>284915664.41374302</v>
      </c>
      <c r="R148" s="61">
        <f t="shared" si="36"/>
        <v>88861401.835220411</v>
      </c>
      <c r="S148" s="61">
        <v>10628556</v>
      </c>
      <c r="T148" s="61">
        <v>2265832</v>
      </c>
      <c r="U148" s="61">
        <v>2265832</v>
      </c>
      <c r="V148" s="61">
        <v>809747</v>
      </c>
      <c r="W148" s="61">
        <v>1403964</v>
      </c>
      <c r="X148" s="61">
        <v>522500</v>
      </c>
      <c r="Y148" s="61">
        <v>881464</v>
      </c>
      <c r="Z148" s="61">
        <v>21219</v>
      </c>
      <c r="AA148" s="61">
        <v>8362724</v>
      </c>
      <c r="AB148" s="61">
        <v>1255552</v>
      </c>
      <c r="AC148" s="61">
        <v>7107172</v>
      </c>
      <c r="AD148" s="61">
        <v>21026890</v>
      </c>
      <c r="AE148" s="61">
        <v>29637073</v>
      </c>
      <c r="AF148" s="61">
        <v>23079066</v>
      </c>
      <c r="AG148" s="61">
        <v>372511</v>
      </c>
      <c r="AH148" s="61">
        <v>369822</v>
      </c>
      <c r="AI148" s="61">
        <v>1998</v>
      </c>
      <c r="AJ148" s="61">
        <v>360481</v>
      </c>
      <c r="AK148" s="61">
        <v>7343</v>
      </c>
      <c r="AL148" s="61">
        <v>2689</v>
      </c>
      <c r="AM148" s="61">
        <v>10925</v>
      </c>
      <c r="AN148" s="61">
        <v>0</v>
      </c>
      <c r="AO148" s="61">
        <v>5059.7034999999996</v>
      </c>
      <c r="AP148" s="61">
        <v>45920.180399999997</v>
      </c>
      <c r="AQ148" s="61">
        <v>22644650.116100002</v>
      </c>
      <c r="AR148" s="61">
        <v>6558007</v>
      </c>
      <c r="AS148" s="61">
        <v>5144577</v>
      </c>
      <c r="AT148" s="61">
        <v>3742158</v>
      </c>
      <c r="AU148" s="61">
        <v>1402419</v>
      </c>
      <c r="AV148" s="61">
        <v>1413430</v>
      </c>
      <c r="AW148" s="65">
        <v>0.99099999999999999</v>
      </c>
      <c r="AX148">
        <f t="shared" si="26"/>
        <v>99100000</v>
      </c>
      <c r="AY148" s="78">
        <f t="shared" si="37"/>
        <v>0.99099999999999999</v>
      </c>
    </row>
    <row r="149" spans="1:55" x14ac:dyDescent="0.25">
      <c r="A149" s="57"/>
      <c r="B149" s="56" t="s">
        <v>100</v>
      </c>
      <c r="C149" s="57">
        <v>1991.1</v>
      </c>
      <c r="D149" s="54" t="s">
        <v>112</v>
      </c>
      <c r="E149" s="54">
        <v>1000</v>
      </c>
      <c r="F149" s="63">
        <v>1</v>
      </c>
      <c r="G149" s="61">
        <v>-1969529</v>
      </c>
      <c r="H149" s="61">
        <f t="shared" si="27"/>
        <v>-1969529000</v>
      </c>
      <c r="I149" s="146">
        <f t="shared" si="28"/>
        <v>0.99099999999999999</v>
      </c>
      <c r="J149" s="61">
        <f t="shared" si="29"/>
        <v>-1987415741.6750758</v>
      </c>
      <c r="K149" s="61">
        <f t="shared" si="30"/>
        <v>10548086000</v>
      </c>
      <c r="L149" s="61">
        <f t="shared" si="31"/>
        <v>21364845000</v>
      </c>
      <c r="M149" s="61">
        <f t="shared" si="32"/>
        <v>6726486000</v>
      </c>
      <c r="N149" s="86">
        <v>74.797300000000007</v>
      </c>
      <c r="O149" s="80">
        <f t="shared" si="33"/>
        <v>1.3249141346011151E-2</v>
      </c>
      <c r="P149" s="61">
        <f t="shared" si="34"/>
        <v>141022282.8898904</v>
      </c>
      <c r="Q149" s="61">
        <f t="shared" si="35"/>
        <v>285636580.46480286</v>
      </c>
      <c r="R149" s="61">
        <f t="shared" si="36"/>
        <v>89929529.541841745</v>
      </c>
      <c r="S149" s="61">
        <v>10548086</v>
      </c>
      <c r="T149" s="61">
        <v>2299458</v>
      </c>
      <c r="U149" s="61">
        <v>2299458</v>
      </c>
      <c r="V149" s="61">
        <v>809747</v>
      </c>
      <c r="W149" s="61">
        <v>1407792</v>
      </c>
      <c r="X149" s="61">
        <v>526328</v>
      </c>
      <c r="Y149" s="61">
        <v>881464</v>
      </c>
      <c r="Z149" s="61">
        <v>51017</v>
      </c>
      <c r="AA149" s="61">
        <v>8248628</v>
      </c>
      <c r="AB149" s="61">
        <v>1141456</v>
      </c>
      <c r="AC149" s="61">
        <v>7107172</v>
      </c>
      <c r="AD149" s="61">
        <v>21364845</v>
      </c>
      <c r="AE149" s="61">
        <v>29943402</v>
      </c>
      <c r="AF149" s="61">
        <v>23216916</v>
      </c>
      <c r="AG149" s="61">
        <v>278551</v>
      </c>
      <c r="AH149" s="61">
        <v>275715</v>
      </c>
      <c r="AI149" s="61">
        <v>928</v>
      </c>
      <c r="AJ149" s="61">
        <v>271167</v>
      </c>
      <c r="AK149" s="61">
        <v>3620</v>
      </c>
      <c r="AL149" s="61">
        <v>2836</v>
      </c>
      <c r="AM149" s="61">
        <v>10925</v>
      </c>
      <c r="AN149" s="61">
        <v>0</v>
      </c>
      <c r="AO149" s="61">
        <v>5049.2426999999998</v>
      </c>
      <c r="AP149" s="61">
        <v>44519.986100000002</v>
      </c>
      <c r="AQ149" s="61">
        <v>22877870.771200001</v>
      </c>
      <c r="AR149" s="61">
        <v>6726486</v>
      </c>
      <c r="AS149" s="61">
        <v>5354969</v>
      </c>
      <c r="AT149" s="61">
        <v>3933250</v>
      </c>
      <c r="AU149" s="61">
        <v>1421719</v>
      </c>
      <c r="AV149" s="61">
        <v>1371517</v>
      </c>
      <c r="AW149" s="65">
        <v>0.99099999999999999</v>
      </c>
      <c r="AX149">
        <f t="shared" si="26"/>
        <v>99100000</v>
      </c>
      <c r="AY149" s="78">
        <f t="shared" si="37"/>
        <v>0.99099999999999999</v>
      </c>
    </row>
    <row r="150" spans="1:55" x14ac:dyDescent="0.25">
      <c r="A150" s="57"/>
      <c r="B150" s="56" t="s">
        <v>101</v>
      </c>
      <c r="C150" s="57">
        <v>1991.11</v>
      </c>
      <c r="D150" s="54" t="s">
        <v>112</v>
      </c>
      <c r="E150" s="54">
        <v>1000</v>
      </c>
      <c r="F150" s="63">
        <v>1</v>
      </c>
      <c r="G150" s="61">
        <v>-1463816</v>
      </c>
      <c r="H150" s="61">
        <f t="shared" si="27"/>
        <v>-1463816000</v>
      </c>
      <c r="I150" s="146">
        <f t="shared" si="28"/>
        <v>0.99099999999999999</v>
      </c>
      <c r="J150" s="61">
        <f t="shared" si="29"/>
        <v>-1477109989.9091825</v>
      </c>
      <c r="K150" s="61">
        <f t="shared" si="30"/>
        <v>10594466000</v>
      </c>
      <c r="L150" s="61">
        <f t="shared" si="31"/>
        <v>21621889000</v>
      </c>
      <c r="M150" s="61">
        <f t="shared" si="32"/>
        <v>7264750000</v>
      </c>
      <c r="N150" s="86">
        <v>75.088200000000001</v>
      </c>
      <c r="O150" s="80">
        <f t="shared" si="33"/>
        <v>1.3197812705591557E-2</v>
      </c>
      <c r="P150" s="61">
        <f t="shared" si="34"/>
        <v>141093620.56887767</v>
      </c>
      <c r="Q150" s="61">
        <f t="shared" si="35"/>
        <v>287953220.34620619</v>
      </c>
      <c r="R150" s="61">
        <f t="shared" si="36"/>
        <v>96749555.855647087</v>
      </c>
      <c r="S150" s="61">
        <v>10594466</v>
      </c>
      <c r="T150" s="61">
        <v>2387294</v>
      </c>
      <c r="U150" s="61">
        <v>2387294</v>
      </c>
      <c r="V150" s="61">
        <v>809747</v>
      </c>
      <c r="W150" s="61">
        <v>1495628</v>
      </c>
      <c r="X150" s="61">
        <v>614164</v>
      </c>
      <c r="Y150" s="61">
        <v>881464</v>
      </c>
      <c r="Z150" s="61">
        <v>51017</v>
      </c>
      <c r="AA150" s="61">
        <v>8207172</v>
      </c>
      <c r="AB150" s="61">
        <v>1100000</v>
      </c>
      <c r="AC150" s="61">
        <v>7107172</v>
      </c>
      <c r="AD150" s="61">
        <v>21621889</v>
      </c>
      <c r="AE150" s="61">
        <v>30752539</v>
      </c>
      <c r="AF150" s="61">
        <v>23487789</v>
      </c>
      <c r="AG150" s="61">
        <v>201964</v>
      </c>
      <c r="AH150" s="61">
        <v>198924</v>
      </c>
      <c r="AI150" s="61">
        <v>0</v>
      </c>
      <c r="AJ150" s="61">
        <v>198426</v>
      </c>
      <c r="AK150" s="61">
        <v>498</v>
      </c>
      <c r="AL150" s="61">
        <v>3040</v>
      </c>
      <c r="AM150" s="61">
        <v>10703</v>
      </c>
      <c r="AN150" s="61">
        <v>0</v>
      </c>
      <c r="AO150" s="61">
        <v>5048.0897000000004</v>
      </c>
      <c r="AP150" s="61">
        <v>43533.688399999999</v>
      </c>
      <c r="AQ150" s="61">
        <v>23226540.221900001</v>
      </c>
      <c r="AR150" s="61">
        <v>7264750</v>
      </c>
      <c r="AS150" s="61">
        <v>5752815</v>
      </c>
      <c r="AT150" s="61">
        <v>4323053</v>
      </c>
      <c r="AU150" s="61">
        <v>1429762</v>
      </c>
      <c r="AV150" s="61">
        <v>1511935</v>
      </c>
      <c r="AW150" s="65">
        <v>0.99099999999999999</v>
      </c>
      <c r="AX150">
        <f t="shared" si="26"/>
        <v>99100000</v>
      </c>
      <c r="AY150" s="78">
        <f t="shared" si="37"/>
        <v>0.99099999999999999</v>
      </c>
    </row>
    <row r="151" spans="1:55" x14ac:dyDescent="0.25">
      <c r="A151" s="57"/>
      <c r="B151" s="56" t="s">
        <v>102</v>
      </c>
      <c r="C151" s="57">
        <v>1991.12</v>
      </c>
      <c r="D151" s="54" t="s">
        <v>112</v>
      </c>
      <c r="E151" s="54">
        <v>1000</v>
      </c>
      <c r="F151" s="63">
        <v>1</v>
      </c>
      <c r="G151" s="61">
        <v>362017</v>
      </c>
      <c r="H151" s="61">
        <f t="shared" si="27"/>
        <v>362017000</v>
      </c>
      <c r="I151" s="146">
        <f t="shared" si="28"/>
        <v>0.999</v>
      </c>
      <c r="J151" s="61">
        <f t="shared" si="29"/>
        <v>362379379.37937939</v>
      </c>
      <c r="K151" s="61">
        <f t="shared" si="30"/>
        <v>10879060000</v>
      </c>
      <c r="L151" s="61">
        <f t="shared" si="31"/>
        <v>17927679000</v>
      </c>
      <c r="M151" s="61">
        <f t="shared" si="32"/>
        <v>7822885000</v>
      </c>
      <c r="N151" s="86">
        <v>75.575699999999998</v>
      </c>
      <c r="O151" s="80">
        <f t="shared" si="33"/>
        <v>1.3218534528955736E-2</v>
      </c>
      <c r="P151" s="61">
        <f t="shared" si="34"/>
        <v>143949179.43201321</v>
      </c>
      <c r="Q151" s="61">
        <f t="shared" si="35"/>
        <v>237214858.74427891</v>
      </c>
      <c r="R151" s="61">
        <f t="shared" si="36"/>
        <v>103510586.07462452</v>
      </c>
      <c r="S151" s="61">
        <v>10879060</v>
      </c>
      <c r="T151" s="61">
        <v>2608739</v>
      </c>
      <c r="U151" s="61">
        <v>2608739</v>
      </c>
      <c r="V151" s="61">
        <v>809747</v>
      </c>
      <c r="W151" s="61">
        <v>1702898</v>
      </c>
      <c r="X151" s="61">
        <v>821434</v>
      </c>
      <c r="Y151" s="61">
        <v>881464</v>
      </c>
      <c r="Z151" s="61">
        <v>65192</v>
      </c>
      <c r="AA151" s="61">
        <v>8270321</v>
      </c>
      <c r="AB151" s="61">
        <v>1105714</v>
      </c>
      <c r="AC151" s="61">
        <v>7164607</v>
      </c>
      <c r="AD151" s="61">
        <v>17927679</v>
      </c>
      <c r="AE151" s="61">
        <v>29168756</v>
      </c>
      <c r="AF151" s="61">
        <v>21345871</v>
      </c>
      <c r="AG151" s="61">
        <v>1096715</v>
      </c>
      <c r="AH151" s="61">
        <v>1091842</v>
      </c>
      <c r="AI151" s="61">
        <v>0</v>
      </c>
      <c r="AJ151" s="61">
        <v>724193</v>
      </c>
      <c r="AK151" s="61">
        <v>367649</v>
      </c>
      <c r="AL151" s="61">
        <v>4873</v>
      </c>
      <c r="AM151" s="61">
        <v>641153</v>
      </c>
      <c r="AN151" s="61">
        <v>0</v>
      </c>
      <c r="AO151" s="61">
        <v>5046.7394000000004</v>
      </c>
      <c r="AP151" s="61">
        <v>48619.747100000001</v>
      </c>
      <c r="AQ151" s="61">
        <v>19554336.513500001</v>
      </c>
      <c r="AR151" s="61">
        <v>7822885</v>
      </c>
      <c r="AS151" s="61">
        <v>6896139</v>
      </c>
      <c r="AT151" s="61">
        <v>5218708</v>
      </c>
      <c r="AU151" s="61">
        <v>1677431</v>
      </c>
      <c r="AV151" s="61">
        <v>926746</v>
      </c>
      <c r="AW151" s="65">
        <v>0.999</v>
      </c>
      <c r="AX151">
        <f t="shared" si="26"/>
        <v>99900000</v>
      </c>
      <c r="AY151" s="78">
        <f t="shared" si="37"/>
        <v>0.999</v>
      </c>
      <c r="BA151" s="68">
        <v>1991</v>
      </c>
      <c r="BB151" s="75">
        <v>0.98832100000000001</v>
      </c>
      <c r="BC151" s="77">
        <f t="shared" ref="BC151:BC160" si="38">+BB151*100000000</f>
        <v>98832100</v>
      </c>
    </row>
    <row r="152" spans="1:55" x14ac:dyDescent="0.25">
      <c r="A152" s="62">
        <v>1992.01</v>
      </c>
      <c r="B152" s="56" t="s">
        <v>108</v>
      </c>
      <c r="C152" s="57">
        <v>1992.01</v>
      </c>
      <c r="D152" s="54" t="s">
        <v>112</v>
      </c>
      <c r="E152" s="54">
        <v>1000</v>
      </c>
      <c r="F152" s="63">
        <v>1</v>
      </c>
      <c r="G152" s="61">
        <v>581167</v>
      </c>
      <c r="H152" s="61">
        <f t="shared" si="27"/>
        <v>581167000</v>
      </c>
      <c r="I152" s="146">
        <f t="shared" si="28"/>
        <v>0.999</v>
      </c>
      <c r="J152" s="61">
        <f t="shared" si="29"/>
        <v>581748748.74874878</v>
      </c>
      <c r="K152" s="61">
        <f t="shared" si="30"/>
        <v>10506464000</v>
      </c>
      <c r="L152" s="61">
        <f t="shared" si="31"/>
        <v>18204903000</v>
      </c>
      <c r="M152" s="61">
        <f t="shared" si="32"/>
        <v>8141049000</v>
      </c>
      <c r="N152" s="86">
        <v>77.875200000000007</v>
      </c>
      <c r="O152" s="80">
        <f t="shared" si="33"/>
        <v>1.2828217455621301E-2</v>
      </c>
      <c r="P152" s="61">
        <f t="shared" si="34"/>
        <v>134914119.00065744</v>
      </c>
      <c r="Q152" s="61">
        <f t="shared" si="35"/>
        <v>233770224.66715974</v>
      </c>
      <c r="R152" s="61">
        <f t="shared" si="36"/>
        <v>104539686.57544377</v>
      </c>
      <c r="S152" s="61">
        <v>10506464</v>
      </c>
      <c r="T152" s="61">
        <v>2116390</v>
      </c>
      <c r="U152" s="61">
        <v>2116390</v>
      </c>
      <c r="V152" s="61">
        <v>809747</v>
      </c>
      <c r="W152" s="61">
        <v>1251458</v>
      </c>
      <c r="X152" s="61">
        <v>369994</v>
      </c>
      <c r="Y152" s="61">
        <v>881464</v>
      </c>
      <c r="Z152" s="61">
        <v>24283</v>
      </c>
      <c r="AA152" s="61">
        <v>8390074</v>
      </c>
      <c r="AB152" s="61">
        <v>1069757</v>
      </c>
      <c r="AC152" s="61">
        <v>7320317</v>
      </c>
      <c r="AD152" s="61">
        <v>18204903</v>
      </c>
      <c r="AE152" s="61">
        <v>29292534</v>
      </c>
      <c r="AF152" s="61">
        <v>21151485</v>
      </c>
      <c r="AG152" s="61">
        <v>731602</v>
      </c>
      <c r="AH152" s="61">
        <v>728075</v>
      </c>
      <c r="AI152" s="61">
        <v>0</v>
      </c>
      <c r="AJ152" s="61">
        <v>728075</v>
      </c>
      <c r="AK152" s="61">
        <v>0</v>
      </c>
      <c r="AL152" s="61">
        <v>3527</v>
      </c>
      <c r="AM152" s="61">
        <v>641334</v>
      </c>
      <c r="AN152" s="61">
        <v>0</v>
      </c>
      <c r="AO152" s="61">
        <v>5044</v>
      </c>
      <c r="AP152" s="61">
        <v>48485</v>
      </c>
      <c r="AQ152" s="61">
        <v>19725020</v>
      </c>
      <c r="AR152" s="61">
        <v>8141049</v>
      </c>
      <c r="AS152" s="61">
        <v>6604486</v>
      </c>
      <c r="AT152" s="61">
        <v>5107345</v>
      </c>
      <c r="AU152" s="61">
        <v>1497141</v>
      </c>
      <c r="AV152" s="61">
        <v>1536563</v>
      </c>
      <c r="AW152" s="65">
        <v>0.999</v>
      </c>
      <c r="AX152">
        <f t="shared" si="26"/>
        <v>99900000</v>
      </c>
      <c r="AY152" s="78">
        <f t="shared" si="37"/>
        <v>0.999</v>
      </c>
      <c r="BA152" s="68">
        <v>1992</v>
      </c>
      <c r="BB152" s="75">
        <v>0.99101667602856958</v>
      </c>
      <c r="BC152" s="77">
        <f t="shared" si="38"/>
        <v>99101667.602856964</v>
      </c>
    </row>
    <row r="153" spans="1:55" x14ac:dyDescent="0.25">
      <c r="A153" s="57"/>
      <c r="B153" s="56" t="s">
        <v>104</v>
      </c>
      <c r="C153" s="57">
        <v>1992.02</v>
      </c>
      <c r="D153" s="54" t="s">
        <v>112</v>
      </c>
      <c r="E153" s="54">
        <v>1000</v>
      </c>
      <c r="F153" s="63">
        <v>1</v>
      </c>
      <c r="G153" s="61">
        <v>453262</v>
      </c>
      <c r="H153" s="61">
        <f t="shared" si="27"/>
        <v>453262000</v>
      </c>
      <c r="I153" s="146">
        <f t="shared" si="28"/>
        <v>0.999</v>
      </c>
      <c r="J153" s="61">
        <f t="shared" si="29"/>
        <v>453715715.71571571</v>
      </c>
      <c r="K153" s="61">
        <f t="shared" si="30"/>
        <v>10539115000</v>
      </c>
      <c r="L153" s="61">
        <f t="shared" si="31"/>
        <v>18443779000</v>
      </c>
      <c r="M153" s="61">
        <f t="shared" si="32"/>
        <v>8454475000</v>
      </c>
      <c r="N153" s="86">
        <v>79.552700000000002</v>
      </c>
      <c r="O153" s="80">
        <f t="shared" si="33"/>
        <v>1.255771331457009E-2</v>
      </c>
      <c r="P153" s="61">
        <f t="shared" si="34"/>
        <v>132479664.42370906</v>
      </c>
      <c r="Q153" s="61">
        <f t="shared" si="35"/>
        <v>231843532.65194017</v>
      </c>
      <c r="R153" s="61">
        <f t="shared" si="36"/>
        <v>106275148.42362358</v>
      </c>
      <c r="S153" s="61">
        <v>10539115</v>
      </c>
      <c r="T153" s="61">
        <v>2108763</v>
      </c>
      <c r="U153" s="61">
        <v>2108763</v>
      </c>
      <c r="V153" s="61">
        <v>809747</v>
      </c>
      <c r="W153" s="61">
        <v>1238082</v>
      </c>
      <c r="X153" s="61">
        <v>356618</v>
      </c>
      <c r="Y153" s="61">
        <v>881464</v>
      </c>
      <c r="Z153" s="61">
        <v>30032</v>
      </c>
      <c r="AA153" s="61">
        <v>8430352</v>
      </c>
      <c r="AB153" s="61">
        <v>1110035</v>
      </c>
      <c r="AC153" s="61">
        <v>7320317</v>
      </c>
      <c r="AD153" s="61">
        <v>18443779</v>
      </c>
      <c r="AE153" s="61">
        <v>29436156</v>
      </c>
      <c r="AF153" s="61">
        <v>20981681</v>
      </c>
      <c r="AG153" s="61">
        <v>344789</v>
      </c>
      <c r="AH153" s="61">
        <v>341703</v>
      </c>
      <c r="AI153" s="61">
        <v>0</v>
      </c>
      <c r="AJ153" s="61">
        <v>309049</v>
      </c>
      <c r="AK153" s="61">
        <v>32654</v>
      </c>
      <c r="AL153" s="61">
        <v>3086</v>
      </c>
      <c r="AM153" s="61">
        <v>641458</v>
      </c>
      <c r="AN153" s="61">
        <v>0</v>
      </c>
      <c r="AO153" s="61">
        <v>5044</v>
      </c>
      <c r="AP153" s="61">
        <v>47599</v>
      </c>
      <c r="AQ153" s="61">
        <v>19942791</v>
      </c>
      <c r="AR153" s="61">
        <v>8454475</v>
      </c>
      <c r="AS153" s="61">
        <v>6589821</v>
      </c>
      <c r="AT153" s="61">
        <v>5025442</v>
      </c>
      <c r="AU153" s="61">
        <v>1564379</v>
      </c>
      <c r="AV153" s="61">
        <v>1864654</v>
      </c>
      <c r="AW153" s="65">
        <v>0.999</v>
      </c>
      <c r="AX153">
        <f t="shared" si="26"/>
        <v>99900000</v>
      </c>
      <c r="AY153" s="78">
        <f t="shared" si="37"/>
        <v>0.999</v>
      </c>
      <c r="BA153" s="68">
        <v>1993</v>
      </c>
      <c r="BB153" s="75">
        <v>0.99905001620451606</v>
      </c>
      <c r="BC153" s="77">
        <f t="shared" si="38"/>
        <v>99905001.620451599</v>
      </c>
    </row>
    <row r="154" spans="1:55" x14ac:dyDescent="0.25">
      <c r="A154" s="57"/>
      <c r="B154" s="56" t="s">
        <v>105</v>
      </c>
      <c r="C154" s="57">
        <v>1992.03</v>
      </c>
      <c r="D154" s="54" t="s">
        <v>112</v>
      </c>
      <c r="E154" s="54">
        <v>1000</v>
      </c>
      <c r="F154" s="63">
        <v>1</v>
      </c>
      <c r="G154" s="61">
        <v>1173783</v>
      </c>
      <c r="H154" s="61">
        <f t="shared" si="27"/>
        <v>1173783000</v>
      </c>
      <c r="I154" s="146">
        <f t="shared" si="28"/>
        <v>0.999</v>
      </c>
      <c r="J154" s="61">
        <f t="shared" si="29"/>
        <v>1174957957.957958</v>
      </c>
      <c r="K154" s="61">
        <f t="shared" si="30"/>
        <v>10459836000</v>
      </c>
      <c r="L154" s="61">
        <f t="shared" si="31"/>
        <v>18676862000</v>
      </c>
      <c r="M154" s="61">
        <f t="shared" si="32"/>
        <v>8033189000</v>
      </c>
      <c r="N154" s="86">
        <v>81.222999999999999</v>
      </c>
      <c r="O154" s="80">
        <f t="shared" si="33"/>
        <v>1.2299471824483214E-2</v>
      </c>
      <c r="P154" s="61">
        <f t="shared" si="34"/>
        <v>128779237.40812331</v>
      </c>
      <c r="Q154" s="61">
        <f t="shared" si="35"/>
        <v>229945483.42218336</v>
      </c>
      <c r="R154" s="61">
        <f t="shared" si="36"/>
        <v>98902884.65089938</v>
      </c>
      <c r="S154" s="61">
        <v>10459836</v>
      </c>
      <c r="T154" s="61">
        <v>1973275</v>
      </c>
      <c r="U154" s="61">
        <v>1973275</v>
      </c>
      <c r="V154" s="61">
        <v>809747</v>
      </c>
      <c r="W154" s="61">
        <v>1112012</v>
      </c>
      <c r="X154" s="61">
        <v>230548</v>
      </c>
      <c r="Y154" s="61">
        <v>881464</v>
      </c>
      <c r="Z154" s="61">
        <v>20614</v>
      </c>
      <c r="AA154" s="61">
        <v>8486561</v>
      </c>
      <c r="AB154" s="61">
        <v>1151456</v>
      </c>
      <c r="AC154" s="61">
        <v>7335105</v>
      </c>
      <c r="AD154" s="61">
        <v>18676862</v>
      </c>
      <c r="AE154" s="61">
        <v>30310481</v>
      </c>
      <c r="AF154" s="61">
        <v>22277292</v>
      </c>
      <c r="AG154" s="61">
        <v>1087075</v>
      </c>
      <c r="AH154" s="61">
        <v>1084118</v>
      </c>
      <c r="AI154" s="61">
        <v>0</v>
      </c>
      <c r="AJ154" s="61">
        <v>1082504</v>
      </c>
      <c r="AK154" s="61">
        <v>1614</v>
      </c>
      <c r="AL154" s="61">
        <v>2957</v>
      </c>
      <c r="AM154" s="61">
        <v>641599</v>
      </c>
      <c r="AN154" s="61">
        <v>0</v>
      </c>
      <c r="AO154" s="61">
        <v>5031</v>
      </c>
      <c r="AP154" s="61">
        <v>48087</v>
      </c>
      <c r="AQ154" s="61">
        <v>20495500</v>
      </c>
      <c r="AR154" s="61">
        <v>8033189</v>
      </c>
      <c r="AS154" s="61">
        <v>6460579</v>
      </c>
      <c r="AT154" s="61">
        <v>4770192</v>
      </c>
      <c r="AU154" s="61">
        <v>1690387</v>
      </c>
      <c r="AV154" s="61">
        <v>1572610</v>
      </c>
      <c r="AW154" s="65">
        <v>0.999</v>
      </c>
      <c r="AX154">
        <f t="shared" si="26"/>
        <v>99900000</v>
      </c>
      <c r="AY154" s="78">
        <f t="shared" si="37"/>
        <v>0.999</v>
      </c>
      <c r="BA154" s="68">
        <v>1994</v>
      </c>
      <c r="BB154" s="75">
        <v>0.99914168318112695</v>
      </c>
      <c r="BC154" s="77">
        <f t="shared" si="38"/>
        <v>99914168.318112701</v>
      </c>
    </row>
    <row r="155" spans="1:55" x14ac:dyDescent="0.25">
      <c r="A155" s="57"/>
      <c r="B155" s="56" t="s">
        <v>106</v>
      </c>
      <c r="C155" s="57">
        <v>1992.04</v>
      </c>
      <c r="D155" s="54" t="s">
        <v>112</v>
      </c>
      <c r="E155" s="54">
        <v>1000</v>
      </c>
      <c r="F155" s="63">
        <v>1</v>
      </c>
      <c r="G155" s="61">
        <v>1528893</v>
      </c>
      <c r="H155" s="61">
        <f t="shared" si="27"/>
        <v>1528893000</v>
      </c>
      <c r="I155" s="146">
        <f t="shared" si="28"/>
        <v>0.999</v>
      </c>
      <c r="J155" s="61">
        <f t="shared" si="29"/>
        <v>1530423423.4234235</v>
      </c>
      <c r="K155" s="61">
        <f t="shared" si="30"/>
        <v>10353029000</v>
      </c>
      <c r="L155" s="61">
        <f t="shared" si="31"/>
        <v>18872709000</v>
      </c>
      <c r="M155" s="61">
        <f t="shared" si="32"/>
        <v>8660540000</v>
      </c>
      <c r="N155" s="86">
        <v>82.268100000000004</v>
      </c>
      <c r="O155" s="80">
        <f t="shared" si="33"/>
        <v>1.2143224408975046E-2</v>
      </c>
      <c r="P155" s="61">
        <f t="shared" si="34"/>
        <v>125844999.4590856</v>
      </c>
      <c r="Q155" s="61">
        <f t="shared" si="35"/>
        <v>229404945.53782085</v>
      </c>
      <c r="R155" s="61">
        <f t="shared" si="36"/>
        <v>105272152.87578052</v>
      </c>
      <c r="S155" s="61">
        <v>10353029</v>
      </c>
      <c r="T155" s="61">
        <v>1875799</v>
      </c>
      <c r="U155" s="61">
        <v>1875799</v>
      </c>
      <c r="V155" s="61">
        <v>809747</v>
      </c>
      <c r="W155" s="61">
        <v>1018529</v>
      </c>
      <c r="X155" s="61">
        <v>137065</v>
      </c>
      <c r="Y155" s="61">
        <v>881464</v>
      </c>
      <c r="Z155" s="61">
        <v>16621</v>
      </c>
      <c r="AA155" s="61">
        <v>8477230</v>
      </c>
      <c r="AB155" s="61">
        <v>1156913</v>
      </c>
      <c r="AC155" s="61">
        <v>7320317</v>
      </c>
      <c r="AD155" s="61">
        <v>18872709</v>
      </c>
      <c r="AE155" s="61">
        <v>30754631</v>
      </c>
      <c r="AF155" s="61">
        <v>22094091</v>
      </c>
      <c r="AG155" s="61">
        <v>847554</v>
      </c>
      <c r="AH155" s="61">
        <v>843453</v>
      </c>
      <c r="AI155" s="61">
        <v>100000</v>
      </c>
      <c r="AJ155" s="61">
        <v>425691</v>
      </c>
      <c r="AK155" s="61">
        <v>317762</v>
      </c>
      <c r="AL155" s="61">
        <v>4101</v>
      </c>
      <c r="AM155" s="61">
        <v>642136</v>
      </c>
      <c r="AN155" s="61">
        <v>0</v>
      </c>
      <c r="AO155" s="61">
        <v>5031</v>
      </c>
      <c r="AP155" s="61">
        <v>47537</v>
      </c>
      <c r="AQ155" s="61">
        <v>20551833</v>
      </c>
      <c r="AR155" s="61">
        <v>8660540</v>
      </c>
      <c r="AS155" s="61">
        <v>6654587</v>
      </c>
      <c r="AT155" s="61">
        <v>5184985</v>
      </c>
      <c r="AU155" s="61">
        <v>1469602</v>
      </c>
      <c r="AV155" s="61">
        <v>2005953</v>
      </c>
      <c r="AW155" s="65">
        <v>0.999</v>
      </c>
      <c r="AX155">
        <f t="shared" si="26"/>
        <v>99900000</v>
      </c>
      <c r="AY155" s="78">
        <f t="shared" si="37"/>
        <v>0.999</v>
      </c>
      <c r="BA155" s="68">
        <v>1995</v>
      </c>
      <c r="BB155" s="76">
        <v>1.0002083381017048</v>
      </c>
      <c r="BC155" s="77">
        <f t="shared" si="38"/>
        <v>100020833.81017049</v>
      </c>
    </row>
    <row r="156" spans="1:55" x14ac:dyDescent="0.25">
      <c r="A156" s="57"/>
      <c r="B156" s="56" t="s">
        <v>107</v>
      </c>
      <c r="C156" s="57">
        <v>1992.05</v>
      </c>
      <c r="D156" s="54" t="s">
        <v>112</v>
      </c>
      <c r="E156" s="54">
        <v>1000</v>
      </c>
      <c r="F156" s="63">
        <v>1</v>
      </c>
      <c r="G156" s="61">
        <v>2211312</v>
      </c>
      <c r="H156" s="61">
        <f t="shared" si="27"/>
        <v>2211312000</v>
      </c>
      <c r="I156" s="146">
        <f t="shared" si="28"/>
        <v>0.999</v>
      </c>
      <c r="J156" s="61">
        <f t="shared" si="29"/>
        <v>2213525525.5255256</v>
      </c>
      <c r="K156" s="61">
        <f t="shared" si="30"/>
        <v>10300001000</v>
      </c>
      <c r="L156" s="61">
        <f t="shared" si="31"/>
        <v>19063020000</v>
      </c>
      <c r="M156" s="61">
        <f t="shared" si="32"/>
        <v>9361984000</v>
      </c>
      <c r="N156" s="86">
        <v>82.821799999999996</v>
      </c>
      <c r="O156" s="80">
        <f t="shared" si="33"/>
        <v>1.206204163638076E-2</v>
      </c>
      <c r="P156" s="61">
        <f t="shared" si="34"/>
        <v>124363404.32108454</v>
      </c>
      <c r="Q156" s="61">
        <f t="shared" si="35"/>
        <v>230169110.06522438</v>
      </c>
      <c r="R156" s="61">
        <f t="shared" si="36"/>
        <v>113037678.48561612</v>
      </c>
      <c r="S156" s="61">
        <v>10300001</v>
      </c>
      <c r="T156" s="61">
        <v>1864093</v>
      </c>
      <c r="U156" s="61">
        <v>1864093</v>
      </c>
      <c r="V156" s="61">
        <v>809747</v>
      </c>
      <c r="W156" s="61">
        <v>1006823</v>
      </c>
      <c r="X156" s="61">
        <v>125359</v>
      </c>
      <c r="Y156" s="61">
        <v>881464</v>
      </c>
      <c r="Z156" s="61">
        <v>16621</v>
      </c>
      <c r="AA156" s="61">
        <v>8435908</v>
      </c>
      <c r="AB156" s="61">
        <v>1115591</v>
      </c>
      <c r="AC156" s="61">
        <v>7320317</v>
      </c>
      <c r="AD156" s="61">
        <v>19063020</v>
      </c>
      <c r="AE156" s="61">
        <v>31574333</v>
      </c>
      <c r="AF156" s="61">
        <v>22212349</v>
      </c>
      <c r="AG156" s="61">
        <v>652607</v>
      </c>
      <c r="AH156" s="61">
        <v>648375</v>
      </c>
      <c r="AI156" s="61">
        <v>100000</v>
      </c>
      <c r="AJ156" s="61">
        <v>232997</v>
      </c>
      <c r="AK156" s="61">
        <v>315378</v>
      </c>
      <c r="AL156" s="61">
        <v>4232</v>
      </c>
      <c r="AM156" s="61">
        <v>643268</v>
      </c>
      <c r="AN156" s="61">
        <v>0</v>
      </c>
      <c r="AO156" s="61">
        <v>5031</v>
      </c>
      <c r="AP156" s="61">
        <v>40872</v>
      </c>
      <c r="AQ156" s="61">
        <v>20870571</v>
      </c>
      <c r="AR156" s="61">
        <v>9361984</v>
      </c>
      <c r="AS156" s="61">
        <v>6906672</v>
      </c>
      <c r="AT156" s="61">
        <v>5281785</v>
      </c>
      <c r="AU156" s="61">
        <v>1624887</v>
      </c>
      <c r="AV156" s="61">
        <v>2455312</v>
      </c>
      <c r="AW156" s="65">
        <v>0.999</v>
      </c>
      <c r="AX156">
        <f t="shared" si="26"/>
        <v>99900000</v>
      </c>
      <c r="AY156" s="78">
        <f t="shared" si="37"/>
        <v>0.999</v>
      </c>
      <c r="BA156" s="68">
        <v>1996</v>
      </c>
      <c r="BB156" s="75">
        <v>0.99945221984336097</v>
      </c>
      <c r="BC156" s="77">
        <f t="shared" si="38"/>
        <v>99945221.984336093</v>
      </c>
    </row>
    <row r="157" spans="1:55" x14ac:dyDescent="0.25">
      <c r="A157" s="57"/>
      <c r="B157" s="56" t="s">
        <v>96</v>
      </c>
      <c r="C157" s="57">
        <v>1992.06</v>
      </c>
      <c r="D157" s="54" t="s">
        <v>112</v>
      </c>
      <c r="E157" s="54">
        <v>1000</v>
      </c>
      <c r="F157" s="63">
        <v>1</v>
      </c>
      <c r="G157" s="61">
        <v>1983290</v>
      </c>
      <c r="H157" s="61">
        <f t="shared" si="27"/>
        <v>1983290000</v>
      </c>
      <c r="I157" s="146">
        <f t="shared" si="28"/>
        <v>0.999</v>
      </c>
      <c r="J157" s="61">
        <f t="shared" si="29"/>
        <v>1985275275.2752752</v>
      </c>
      <c r="K157" s="61">
        <f t="shared" si="30"/>
        <v>10304485000</v>
      </c>
      <c r="L157" s="61">
        <f t="shared" si="31"/>
        <v>19259571000</v>
      </c>
      <c r="M157" s="61">
        <f t="shared" si="32"/>
        <v>9277361000</v>
      </c>
      <c r="N157" s="86">
        <v>83.471199999999996</v>
      </c>
      <c r="O157" s="80">
        <f t="shared" si="33"/>
        <v>1.196819981023395E-2</v>
      </c>
      <c r="P157" s="61">
        <f t="shared" si="34"/>
        <v>123449585.00656514</v>
      </c>
      <c r="Q157" s="61">
        <f t="shared" si="35"/>
        <v>230733127.11450177</v>
      </c>
      <c r="R157" s="61">
        <f t="shared" si="36"/>
        <v>111144454.61428612</v>
      </c>
      <c r="S157" s="61">
        <v>10304485</v>
      </c>
      <c r="T157" s="61">
        <v>1864102</v>
      </c>
      <c r="U157" s="61">
        <v>1864102</v>
      </c>
      <c r="V157" s="61">
        <v>809747</v>
      </c>
      <c r="W157" s="61">
        <v>1006832</v>
      </c>
      <c r="X157" s="61">
        <v>125368</v>
      </c>
      <c r="Y157" s="61">
        <v>881464</v>
      </c>
      <c r="Z157" s="61">
        <v>16621</v>
      </c>
      <c r="AA157" s="61">
        <v>8440383</v>
      </c>
      <c r="AB157" s="61">
        <v>1000489</v>
      </c>
      <c r="AC157" s="61">
        <v>7439894</v>
      </c>
      <c r="AD157" s="61">
        <v>19259571</v>
      </c>
      <c r="AE157" s="61">
        <v>31547346</v>
      </c>
      <c r="AF157" s="61">
        <v>22269985</v>
      </c>
      <c r="AG157" s="61">
        <v>721536</v>
      </c>
      <c r="AH157" s="61">
        <v>716638</v>
      </c>
      <c r="AI157" s="61">
        <v>220000</v>
      </c>
      <c r="AJ157" s="61">
        <v>60209</v>
      </c>
      <c r="AK157" s="61">
        <v>436429</v>
      </c>
      <c r="AL157" s="61">
        <v>4898</v>
      </c>
      <c r="AM157" s="61">
        <v>642312</v>
      </c>
      <c r="AN157" s="61">
        <v>0</v>
      </c>
      <c r="AO157" s="61">
        <v>5021</v>
      </c>
      <c r="AP157" s="61">
        <v>44328</v>
      </c>
      <c r="AQ157" s="61">
        <v>20856788</v>
      </c>
      <c r="AR157" s="61">
        <v>9277361</v>
      </c>
      <c r="AS157" s="61">
        <v>7624423</v>
      </c>
      <c r="AT157" s="61">
        <v>5601801</v>
      </c>
      <c r="AU157" s="61">
        <v>2022622</v>
      </c>
      <c r="AV157" s="61">
        <v>1652938</v>
      </c>
      <c r="AW157" s="65">
        <v>0.999</v>
      </c>
      <c r="AX157">
        <f t="shared" si="26"/>
        <v>99900000</v>
      </c>
      <c r="AY157" s="78">
        <f t="shared" si="37"/>
        <v>0.999</v>
      </c>
      <c r="BA157" s="68">
        <v>1997</v>
      </c>
      <c r="BB157" s="75">
        <v>0.99799999999999989</v>
      </c>
      <c r="BC157" s="77">
        <f t="shared" si="38"/>
        <v>99799999.999999985</v>
      </c>
    </row>
    <row r="158" spans="1:55" x14ac:dyDescent="0.25">
      <c r="A158" s="57"/>
      <c r="B158" s="56" t="s">
        <v>97</v>
      </c>
      <c r="C158" s="57">
        <v>1992.07</v>
      </c>
      <c r="D158" s="54" t="s">
        <v>112</v>
      </c>
      <c r="E158" s="54">
        <v>1000</v>
      </c>
      <c r="F158" s="63">
        <v>1</v>
      </c>
      <c r="G158" s="61">
        <v>2442756</v>
      </c>
      <c r="H158" s="61">
        <f t="shared" si="27"/>
        <v>2442756000</v>
      </c>
      <c r="I158" s="146">
        <f t="shared" si="28"/>
        <v>0.999</v>
      </c>
      <c r="J158" s="61">
        <f t="shared" si="29"/>
        <v>2445201201.2012014</v>
      </c>
      <c r="K158" s="61">
        <f t="shared" si="30"/>
        <v>10421319000</v>
      </c>
      <c r="L158" s="61">
        <f t="shared" si="31"/>
        <v>19413809000</v>
      </c>
      <c r="M158" s="61">
        <f t="shared" si="32"/>
        <v>10051407000</v>
      </c>
      <c r="N158" s="86">
        <v>84.914199999999994</v>
      </c>
      <c r="O158" s="80">
        <f t="shared" si="33"/>
        <v>1.1764816720878252E-2</v>
      </c>
      <c r="P158" s="61">
        <f t="shared" si="34"/>
        <v>122727635.66046669</v>
      </c>
      <c r="Q158" s="61">
        <f t="shared" si="35"/>
        <v>228628533.27240911</v>
      </c>
      <c r="R158" s="61">
        <f t="shared" si="36"/>
        <v>118371332.47442713</v>
      </c>
      <c r="S158" s="61">
        <v>10421319</v>
      </c>
      <c r="T158" s="61">
        <v>1981995</v>
      </c>
      <c r="U158" s="61">
        <v>1981995</v>
      </c>
      <c r="V158" s="61">
        <v>809747</v>
      </c>
      <c r="W158" s="61">
        <v>1124725</v>
      </c>
      <c r="X158" s="61">
        <v>243261</v>
      </c>
      <c r="Y158" s="61">
        <v>881464</v>
      </c>
      <c r="Z158" s="61">
        <v>16621</v>
      </c>
      <c r="AA158" s="61">
        <v>8439324</v>
      </c>
      <c r="AB158" s="61">
        <v>903157</v>
      </c>
      <c r="AC158" s="61">
        <v>7536167</v>
      </c>
      <c r="AD158" s="61">
        <v>19413809</v>
      </c>
      <c r="AE158" s="61">
        <v>32277884</v>
      </c>
      <c r="AF158" s="61">
        <v>22226477</v>
      </c>
      <c r="AG158" s="61">
        <v>571666</v>
      </c>
      <c r="AH158" s="61">
        <v>564882</v>
      </c>
      <c r="AI158" s="61">
        <v>170450</v>
      </c>
      <c r="AJ158" s="61">
        <v>21342</v>
      </c>
      <c r="AK158" s="61">
        <v>373090</v>
      </c>
      <c r="AL158" s="61">
        <v>6784</v>
      </c>
      <c r="AM158" s="61">
        <v>640572</v>
      </c>
      <c r="AN158" s="61">
        <v>0</v>
      </c>
      <c r="AO158" s="61">
        <v>4906</v>
      </c>
      <c r="AP158" s="61">
        <v>41894</v>
      </c>
      <c r="AQ158" s="61">
        <v>20967439</v>
      </c>
      <c r="AR158" s="61">
        <v>10051407</v>
      </c>
      <c r="AS158" s="61">
        <v>7779387</v>
      </c>
      <c r="AT158" s="61">
        <v>5936062</v>
      </c>
      <c r="AU158" s="61">
        <v>1843325</v>
      </c>
      <c r="AV158" s="61">
        <v>2272020</v>
      </c>
      <c r="AW158" s="65">
        <v>0.999</v>
      </c>
      <c r="AX158">
        <f t="shared" si="26"/>
        <v>99900000</v>
      </c>
      <c r="AY158" s="78">
        <f t="shared" si="37"/>
        <v>0.999</v>
      </c>
      <c r="BA158" s="68">
        <v>1998</v>
      </c>
      <c r="BB158" s="75">
        <v>0.99990729703045489</v>
      </c>
      <c r="BC158" s="77">
        <f t="shared" si="38"/>
        <v>99990729.703045487</v>
      </c>
    </row>
    <row r="159" spans="1:55" x14ac:dyDescent="0.25">
      <c r="A159" s="57"/>
      <c r="B159" s="56" t="s">
        <v>98</v>
      </c>
      <c r="C159" s="57">
        <v>1992.08</v>
      </c>
      <c r="D159" s="54" t="s">
        <v>112</v>
      </c>
      <c r="E159" s="54">
        <v>1000</v>
      </c>
      <c r="F159" s="63">
        <v>1</v>
      </c>
      <c r="G159" s="61">
        <v>2497767</v>
      </c>
      <c r="H159" s="61">
        <f t="shared" si="27"/>
        <v>2497767000</v>
      </c>
      <c r="I159" s="146">
        <f t="shared" si="28"/>
        <v>0.999</v>
      </c>
      <c r="J159" s="61">
        <f t="shared" si="29"/>
        <v>2500267267.2672672</v>
      </c>
      <c r="K159" s="61">
        <f t="shared" si="30"/>
        <v>10302089000</v>
      </c>
      <c r="L159" s="61">
        <f t="shared" si="31"/>
        <v>19595054000</v>
      </c>
      <c r="M159" s="61">
        <f t="shared" si="32"/>
        <v>9948865000</v>
      </c>
      <c r="N159" s="86">
        <v>86.185100000000006</v>
      </c>
      <c r="O159" s="80">
        <f t="shared" si="33"/>
        <v>1.1591330752067351E-2</v>
      </c>
      <c r="P159" s="61">
        <f t="shared" si="34"/>
        <v>119534455.49172652</v>
      </c>
      <c r="Q159" s="61">
        <f t="shared" si="35"/>
        <v>227360112.13075113</v>
      </c>
      <c r="R159" s="61">
        <f t="shared" si="36"/>
        <v>115436020.84351006</v>
      </c>
      <c r="S159" s="61">
        <v>10302089</v>
      </c>
      <c r="T159" s="61">
        <v>1985233</v>
      </c>
      <c r="U159" s="61">
        <v>1985233</v>
      </c>
      <c r="V159" s="61">
        <v>809747</v>
      </c>
      <c r="W159" s="61">
        <v>1127963</v>
      </c>
      <c r="X159" s="61">
        <v>246499</v>
      </c>
      <c r="Y159" s="61">
        <v>881464</v>
      </c>
      <c r="Z159" s="61">
        <v>16621</v>
      </c>
      <c r="AA159" s="61">
        <v>8316856</v>
      </c>
      <c r="AB159" s="61">
        <v>852907</v>
      </c>
      <c r="AC159" s="61">
        <v>7463949</v>
      </c>
      <c r="AD159" s="61">
        <v>19595054</v>
      </c>
      <c r="AE159" s="61">
        <v>32394910</v>
      </c>
      <c r="AF159" s="61">
        <v>22446045</v>
      </c>
      <c r="AG159" s="61">
        <v>620990</v>
      </c>
      <c r="AH159" s="61">
        <v>615298</v>
      </c>
      <c r="AI159" s="61">
        <v>170450</v>
      </c>
      <c r="AJ159" s="61">
        <v>7689</v>
      </c>
      <c r="AK159" s="61">
        <v>437159</v>
      </c>
      <c r="AL159" s="61">
        <v>5692</v>
      </c>
      <c r="AM159" s="61">
        <v>641346</v>
      </c>
      <c r="AN159" s="61">
        <v>0</v>
      </c>
      <c r="AO159" s="61">
        <v>4619</v>
      </c>
      <c r="AP159" s="61">
        <v>41168</v>
      </c>
      <c r="AQ159" s="61">
        <v>21137922</v>
      </c>
      <c r="AR159" s="61">
        <v>9948865</v>
      </c>
      <c r="AS159" s="61">
        <v>7620570</v>
      </c>
      <c r="AT159" s="61">
        <v>5695007</v>
      </c>
      <c r="AU159" s="61">
        <v>1925563</v>
      </c>
      <c r="AV159" s="61">
        <v>2328295</v>
      </c>
      <c r="AW159" s="65">
        <v>0.999</v>
      </c>
      <c r="AX159">
        <f t="shared" si="26"/>
        <v>99900000</v>
      </c>
      <c r="AY159" s="78">
        <f t="shared" si="37"/>
        <v>0.999</v>
      </c>
      <c r="BA159" s="68">
        <v>1999</v>
      </c>
      <c r="BB159" s="76">
        <v>1.0000995652173914</v>
      </c>
      <c r="BC159" s="77">
        <f t="shared" si="38"/>
        <v>100009956.52173914</v>
      </c>
    </row>
    <row r="160" spans="1:55" x14ac:dyDescent="0.25">
      <c r="A160" s="57"/>
      <c r="B160" s="56" t="s">
        <v>99</v>
      </c>
      <c r="C160" s="57">
        <v>1992.09</v>
      </c>
      <c r="D160" s="54" t="s">
        <v>112</v>
      </c>
      <c r="E160" s="54">
        <v>1000</v>
      </c>
      <c r="F160" s="63">
        <v>1</v>
      </c>
      <c r="G160" s="61">
        <v>3513100</v>
      </c>
      <c r="H160" s="61">
        <f t="shared" si="27"/>
        <v>3513100000</v>
      </c>
      <c r="I160" s="146">
        <f t="shared" si="28"/>
        <v>0.999</v>
      </c>
      <c r="J160" s="61">
        <f t="shared" si="29"/>
        <v>3516616616.6166167</v>
      </c>
      <c r="K160" s="61">
        <f t="shared" si="30"/>
        <v>11083400000</v>
      </c>
      <c r="L160" s="61">
        <f t="shared" si="31"/>
        <v>19934800000</v>
      </c>
      <c r="M160" s="61">
        <f t="shared" si="32"/>
        <v>9470300000</v>
      </c>
      <c r="N160" s="86">
        <v>87.076099999999997</v>
      </c>
      <c r="O160" s="80">
        <f t="shared" si="33"/>
        <v>1.1472723284575216E-2</v>
      </c>
      <c r="P160" s="61">
        <f t="shared" si="34"/>
        <v>127284065.31757854</v>
      </c>
      <c r="Q160" s="61">
        <f t="shared" si="35"/>
        <v>228935379.51286289</v>
      </c>
      <c r="R160" s="61">
        <f t="shared" si="36"/>
        <v>108758890.21212479</v>
      </c>
      <c r="S160" s="61">
        <v>11083400</v>
      </c>
      <c r="T160" s="61">
        <v>1949000</v>
      </c>
      <c r="U160" s="61">
        <v>1949000</v>
      </c>
      <c r="V160" s="61">
        <v>809700</v>
      </c>
      <c r="W160" s="61">
        <v>1081600</v>
      </c>
      <c r="X160" s="61">
        <v>200100</v>
      </c>
      <c r="Y160" s="61">
        <v>881500</v>
      </c>
      <c r="Z160" s="61">
        <v>26800</v>
      </c>
      <c r="AA160" s="61">
        <v>9134400</v>
      </c>
      <c r="AB160" s="61">
        <v>1492200</v>
      </c>
      <c r="AC160" s="61">
        <v>7642200</v>
      </c>
      <c r="AD160" s="61">
        <v>19934800</v>
      </c>
      <c r="AE160" s="61">
        <v>34531300</v>
      </c>
      <c r="AF160" s="61">
        <v>25061000</v>
      </c>
      <c r="AG160" s="61">
        <v>1922200</v>
      </c>
      <c r="AH160" s="61">
        <v>1916300</v>
      </c>
      <c r="AI160" s="61">
        <v>100000</v>
      </c>
      <c r="AJ160" s="61">
        <v>1068400</v>
      </c>
      <c r="AK160" s="61">
        <v>747900</v>
      </c>
      <c r="AL160" s="61">
        <v>5900</v>
      </c>
      <c r="AM160" s="61">
        <v>0</v>
      </c>
      <c r="AN160" s="61">
        <v>0</v>
      </c>
      <c r="AO160" s="61">
        <v>4615</v>
      </c>
      <c r="AP160" s="61">
        <v>91171</v>
      </c>
      <c r="AQ160" s="61">
        <v>23043014</v>
      </c>
      <c r="AR160" s="61">
        <v>9470300</v>
      </c>
      <c r="AS160" s="61">
        <v>7555600</v>
      </c>
      <c r="AT160" s="61">
        <v>5647734</v>
      </c>
      <c r="AU160" s="61">
        <v>1907866</v>
      </c>
      <c r="AV160" s="61">
        <v>1914700</v>
      </c>
      <c r="AW160" s="65">
        <v>0.999</v>
      </c>
      <c r="AX160">
        <f t="shared" si="26"/>
        <v>99900000</v>
      </c>
      <c r="AY160" s="78">
        <f t="shared" si="37"/>
        <v>0.999</v>
      </c>
      <c r="BA160" s="66">
        <v>2000</v>
      </c>
      <c r="BB160" s="75">
        <v>0.99909031761716527</v>
      </c>
      <c r="BC160" s="77">
        <f t="shared" si="38"/>
        <v>99909031.76171653</v>
      </c>
    </row>
    <row r="161" spans="1:51" x14ac:dyDescent="0.25">
      <c r="A161" s="57"/>
      <c r="B161" s="56" t="s">
        <v>100</v>
      </c>
      <c r="C161" s="57">
        <v>1992.1</v>
      </c>
      <c r="D161" s="54" t="s">
        <v>112</v>
      </c>
      <c r="E161" s="54">
        <v>1000</v>
      </c>
      <c r="F161" s="63">
        <v>1</v>
      </c>
      <c r="G161" s="61">
        <v>8044384</v>
      </c>
      <c r="H161" s="61">
        <f t="shared" si="27"/>
        <v>8044384000</v>
      </c>
      <c r="I161" s="146">
        <f t="shared" si="28"/>
        <v>0.999</v>
      </c>
      <c r="J161" s="61">
        <f t="shared" si="29"/>
        <v>8052436436.4364367</v>
      </c>
      <c r="K161" s="61">
        <f t="shared" si="30"/>
        <v>9334237000</v>
      </c>
      <c r="L161" s="61">
        <f t="shared" si="31"/>
        <v>19015798000</v>
      </c>
      <c r="M161" s="61">
        <f t="shared" si="32"/>
        <v>9931485000</v>
      </c>
      <c r="N161" s="86">
        <v>88.178399999999996</v>
      </c>
      <c r="O161" s="80">
        <f t="shared" si="33"/>
        <v>1.1329305135951663E-2</v>
      </c>
      <c r="P161" s="61">
        <f t="shared" si="34"/>
        <v>105856275.45974979</v>
      </c>
      <c r="Q161" s="61">
        <f t="shared" si="35"/>
        <v>215651429.37499434</v>
      </c>
      <c r="R161" s="61">
        <f t="shared" si="36"/>
        <v>112629453.47159849</v>
      </c>
      <c r="S161" s="61">
        <v>9334237</v>
      </c>
      <c r="T161" s="61">
        <v>1251895</v>
      </c>
      <c r="U161" s="61">
        <v>1251895</v>
      </c>
      <c r="V161" s="61">
        <v>0</v>
      </c>
      <c r="W161" s="61">
        <v>1251895</v>
      </c>
      <c r="X161" s="61">
        <v>370431</v>
      </c>
      <c r="Y161" s="61">
        <v>881464</v>
      </c>
      <c r="Z161" s="61">
        <v>0</v>
      </c>
      <c r="AA161" s="61">
        <v>8082342</v>
      </c>
      <c r="AB161" s="61">
        <v>1482323</v>
      </c>
      <c r="AC161" s="61">
        <v>6600019</v>
      </c>
      <c r="AD161" s="61">
        <v>19015798</v>
      </c>
      <c r="AE161" s="61">
        <v>36394419</v>
      </c>
      <c r="AF161" s="61">
        <v>26462934</v>
      </c>
      <c r="AG161" s="61">
        <v>1867864</v>
      </c>
      <c r="AH161" s="61">
        <v>1861707</v>
      </c>
      <c r="AI161" s="61">
        <v>100000</v>
      </c>
      <c r="AJ161" s="61">
        <v>1003611</v>
      </c>
      <c r="AK161" s="61">
        <v>758096</v>
      </c>
      <c r="AL161" s="61">
        <v>6157</v>
      </c>
      <c r="AM161" s="61">
        <v>0</v>
      </c>
      <c r="AN161" s="61">
        <v>0</v>
      </c>
      <c r="AO161" s="61">
        <v>0</v>
      </c>
      <c r="AP161" s="61">
        <v>0</v>
      </c>
      <c r="AQ161" s="61">
        <v>24595070</v>
      </c>
      <c r="AR161" s="61">
        <v>9931485</v>
      </c>
      <c r="AS161" s="61">
        <v>7732354</v>
      </c>
      <c r="AT161" s="61">
        <v>5979696</v>
      </c>
      <c r="AU161" s="61">
        <v>1752658</v>
      </c>
      <c r="AV161" s="61">
        <v>2199131</v>
      </c>
      <c r="AW161" s="65">
        <v>0.999</v>
      </c>
      <c r="AX161">
        <f t="shared" si="26"/>
        <v>99900000</v>
      </c>
      <c r="AY161" s="78">
        <f t="shared" si="37"/>
        <v>0.999</v>
      </c>
    </row>
    <row r="162" spans="1:51" x14ac:dyDescent="0.25">
      <c r="A162" s="57"/>
      <c r="B162" s="56" t="s">
        <v>101</v>
      </c>
      <c r="C162" s="57">
        <v>1992.11</v>
      </c>
      <c r="D162" s="54" t="s">
        <v>112</v>
      </c>
      <c r="E162" s="54">
        <v>1000</v>
      </c>
      <c r="F162" s="63">
        <v>1</v>
      </c>
      <c r="G162" s="61">
        <v>7835249</v>
      </c>
      <c r="H162" s="61">
        <f t="shared" si="27"/>
        <v>7835249000</v>
      </c>
      <c r="I162" s="146">
        <f t="shared" si="28"/>
        <v>0.999</v>
      </c>
      <c r="J162" s="61">
        <f t="shared" si="29"/>
        <v>7843092092.0920925</v>
      </c>
      <c r="K162" s="61">
        <f t="shared" si="30"/>
        <v>9287822000</v>
      </c>
      <c r="L162" s="61">
        <f t="shared" si="31"/>
        <v>20213838000</v>
      </c>
      <c r="M162" s="61">
        <f t="shared" si="32"/>
        <v>9727541000</v>
      </c>
      <c r="N162" s="86">
        <v>88.584800000000001</v>
      </c>
      <c r="O162" s="80">
        <f t="shared" si="33"/>
        <v>1.1277329745057843E-2</v>
      </c>
      <c r="P162" s="61">
        <f t="shared" si="34"/>
        <v>104846677.98538801</v>
      </c>
      <c r="Q162" s="61">
        <f t="shared" si="35"/>
        <v>228186302.84202257</v>
      </c>
      <c r="R162" s="61">
        <f t="shared" si="36"/>
        <v>109810497.96353325</v>
      </c>
      <c r="S162" s="61">
        <v>9287822</v>
      </c>
      <c r="T162" s="61">
        <v>1231064</v>
      </c>
      <c r="U162" s="61">
        <v>1231064</v>
      </c>
      <c r="V162" s="61">
        <v>0</v>
      </c>
      <c r="W162" s="61">
        <v>1231064</v>
      </c>
      <c r="X162" s="61">
        <v>349600</v>
      </c>
      <c r="Y162" s="61">
        <v>881464</v>
      </c>
      <c r="Z162" s="61">
        <v>0</v>
      </c>
      <c r="AA162" s="61">
        <v>8056758</v>
      </c>
      <c r="AB162" s="61">
        <v>1470764</v>
      </c>
      <c r="AC162" s="61">
        <v>6585994</v>
      </c>
      <c r="AD162" s="61">
        <v>20213838</v>
      </c>
      <c r="AE162" s="61">
        <v>37336909</v>
      </c>
      <c r="AF162" s="61">
        <v>27609368</v>
      </c>
      <c r="AG162" s="61">
        <v>1674220</v>
      </c>
      <c r="AH162" s="61">
        <v>1668339</v>
      </c>
      <c r="AI162" s="61">
        <v>100000</v>
      </c>
      <c r="AJ162" s="61">
        <v>820153</v>
      </c>
      <c r="AK162" s="61">
        <v>748186</v>
      </c>
      <c r="AL162" s="61">
        <v>5881</v>
      </c>
      <c r="AM162" s="61">
        <v>0</v>
      </c>
      <c r="AN162" s="61">
        <v>0</v>
      </c>
      <c r="AO162" s="61">
        <v>0</v>
      </c>
      <c r="AP162" s="61">
        <v>0</v>
      </c>
      <c r="AQ162" s="61">
        <v>25935148</v>
      </c>
      <c r="AR162" s="61">
        <v>9727541</v>
      </c>
      <c r="AS162" s="61">
        <v>7987800</v>
      </c>
      <c r="AT162" s="61">
        <v>5866592</v>
      </c>
      <c r="AU162" s="61">
        <v>2121208</v>
      </c>
      <c r="AV162" s="61">
        <v>1739741</v>
      </c>
      <c r="AW162" s="65">
        <v>0.999</v>
      </c>
      <c r="AX162">
        <f t="shared" si="26"/>
        <v>99900000</v>
      </c>
      <c r="AY162" s="78">
        <f t="shared" si="37"/>
        <v>0.999</v>
      </c>
    </row>
    <row r="163" spans="1:51" x14ac:dyDescent="0.25">
      <c r="A163" s="57"/>
      <c r="B163" s="56" t="s">
        <v>102</v>
      </c>
      <c r="C163" s="57">
        <v>1992.12</v>
      </c>
      <c r="D163" s="54" t="s">
        <v>112</v>
      </c>
      <c r="E163" s="54">
        <v>1000</v>
      </c>
      <c r="F163" s="63">
        <v>1</v>
      </c>
      <c r="G163" s="61">
        <v>8657092</v>
      </c>
      <c r="H163" s="61">
        <f t="shared" si="27"/>
        <v>8657092000</v>
      </c>
      <c r="I163" s="146">
        <f t="shared" si="28"/>
        <v>0.999</v>
      </c>
      <c r="J163" s="61">
        <f t="shared" si="29"/>
        <v>8665757757.7577572</v>
      </c>
      <c r="K163" s="61">
        <f t="shared" si="30"/>
        <v>9272164000</v>
      </c>
      <c r="L163" s="61">
        <f t="shared" si="31"/>
        <v>23413059000</v>
      </c>
      <c r="M163" s="61">
        <f t="shared" si="32"/>
        <v>11010061000</v>
      </c>
      <c r="N163" s="86">
        <v>88.836100000000002</v>
      </c>
      <c r="O163" s="80">
        <f t="shared" si="33"/>
        <v>1.1245428378778446E-2</v>
      </c>
      <c r="P163" s="61">
        <f t="shared" si="34"/>
        <v>104373830.00829618</v>
      </c>
      <c r="Q163" s="61">
        <f t="shared" si="35"/>
        <v>263553431.54415828</v>
      </c>
      <c r="R163" s="61">
        <f t="shared" si="36"/>
        <v>123936789.2106925</v>
      </c>
      <c r="S163" s="61">
        <v>9272164</v>
      </c>
      <c r="T163" s="61">
        <v>1037292</v>
      </c>
      <c r="U163" s="61">
        <v>1037292</v>
      </c>
      <c r="V163" s="61">
        <v>0</v>
      </c>
      <c r="W163" s="61">
        <v>1037292</v>
      </c>
      <c r="X163" s="61">
        <v>155828</v>
      </c>
      <c r="Y163" s="61">
        <v>881464</v>
      </c>
      <c r="Z163" s="61">
        <v>0</v>
      </c>
      <c r="AA163" s="61">
        <v>8234872</v>
      </c>
      <c r="AB163" s="61">
        <v>1428999</v>
      </c>
      <c r="AC163" s="61">
        <v>6805873</v>
      </c>
      <c r="AD163" s="61">
        <v>23413059</v>
      </c>
      <c r="AE163" s="61">
        <v>41342315</v>
      </c>
      <c r="AF163" s="61">
        <v>30332254</v>
      </c>
      <c r="AG163" s="61">
        <v>1377889</v>
      </c>
      <c r="AH163" s="61">
        <v>1371922</v>
      </c>
      <c r="AI163" s="61">
        <v>125000</v>
      </c>
      <c r="AJ163" s="61">
        <v>497062</v>
      </c>
      <c r="AK163" s="61">
        <v>749860</v>
      </c>
      <c r="AL163" s="61">
        <v>5967</v>
      </c>
      <c r="AM163" s="61">
        <v>0</v>
      </c>
      <c r="AN163" s="61">
        <v>0</v>
      </c>
      <c r="AO163" s="61">
        <v>0</v>
      </c>
      <c r="AP163" s="61">
        <v>0</v>
      </c>
      <c r="AQ163" s="61">
        <v>28954365</v>
      </c>
      <c r="AR163" s="61">
        <v>11010061</v>
      </c>
      <c r="AS163" s="61">
        <v>9647511</v>
      </c>
      <c r="AT163" s="61">
        <v>7681500</v>
      </c>
      <c r="AU163" s="61">
        <v>1966011</v>
      </c>
      <c r="AV163" s="61">
        <v>1362550</v>
      </c>
      <c r="AW163" s="65">
        <v>0.999</v>
      </c>
      <c r="AX163">
        <f t="shared" si="26"/>
        <v>99900000</v>
      </c>
      <c r="AY163" s="78">
        <f t="shared" si="37"/>
        <v>0.999</v>
      </c>
    </row>
    <row r="164" spans="1:51" x14ac:dyDescent="0.25">
      <c r="A164" s="62">
        <v>1993.01</v>
      </c>
      <c r="B164" s="56" t="s">
        <v>108</v>
      </c>
      <c r="C164" s="57">
        <v>1993.01</v>
      </c>
      <c r="D164" s="54" t="s">
        <v>112</v>
      </c>
      <c r="E164" s="54">
        <v>1000</v>
      </c>
      <c r="F164" s="63">
        <v>1</v>
      </c>
      <c r="G164" s="61">
        <v>7927999</v>
      </c>
      <c r="H164" s="61">
        <f t="shared" si="27"/>
        <v>7927999000</v>
      </c>
      <c r="I164" s="146">
        <f t="shared" si="28"/>
        <v>0.999</v>
      </c>
      <c r="J164" s="61">
        <f t="shared" si="29"/>
        <v>7935934934.9349346</v>
      </c>
      <c r="K164" s="61">
        <f t="shared" si="30"/>
        <v>10235223000</v>
      </c>
      <c r="L164" s="61">
        <f t="shared" si="31"/>
        <v>23761254000</v>
      </c>
      <c r="M164" s="61">
        <f t="shared" si="32"/>
        <v>11830995000</v>
      </c>
      <c r="N164" s="86">
        <v>89.575599999999994</v>
      </c>
      <c r="O164" s="80">
        <f t="shared" si="33"/>
        <v>1.1152590660849606E-2</v>
      </c>
      <c r="P164" s="61">
        <f t="shared" si="34"/>
        <v>114263515.95747057</v>
      </c>
      <c r="Q164" s="61">
        <f t="shared" si="35"/>
        <v>265264804.25473011</v>
      </c>
      <c r="R164" s="61">
        <f t="shared" si="36"/>
        <v>132078322.66822663</v>
      </c>
      <c r="S164" s="61">
        <v>10235223</v>
      </c>
      <c r="T164" s="61">
        <v>1058192</v>
      </c>
      <c r="U164" s="61">
        <v>1058192</v>
      </c>
      <c r="V164" s="61">
        <v>0</v>
      </c>
      <c r="W164" s="61">
        <v>1058192</v>
      </c>
      <c r="X164" s="61">
        <v>176728</v>
      </c>
      <c r="Y164" s="61">
        <v>881464</v>
      </c>
      <c r="Z164" s="61">
        <v>0</v>
      </c>
      <c r="AA164" s="61">
        <v>9177031</v>
      </c>
      <c r="AB164" s="61">
        <v>1404700</v>
      </c>
      <c r="AC164" s="61">
        <v>7772331</v>
      </c>
      <c r="AD164" s="61">
        <v>23761254</v>
      </c>
      <c r="AE164" s="61">
        <v>41924476</v>
      </c>
      <c r="AF164" s="61">
        <v>30093481</v>
      </c>
      <c r="AG164" s="61">
        <v>878745</v>
      </c>
      <c r="AH164" s="61">
        <v>872625</v>
      </c>
      <c r="AI164" s="61">
        <v>0</v>
      </c>
      <c r="AJ164" s="61">
        <v>122643</v>
      </c>
      <c r="AK164" s="61">
        <v>749982</v>
      </c>
      <c r="AL164" s="61">
        <v>6120</v>
      </c>
      <c r="AM164" s="61">
        <v>0</v>
      </c>
      <c r="AN164" s="61">
        <v>0</v>
      </c>
      <c r="AO164" s="61"/>
      <c r="AP164" s="61">
        <v>0</v>
      </c>
      <c r="AQ164" s="61">
        <v>29214736</v>
      </c>
      <c r="AR164" s="61">
        <v>11830995</v>
      </c>
      <c r="AS164" s="61">
        <v>9142530</v>
      </c>
      <c r="AT164" s="61">
        <v>6869447</v>
      </c>
      <c r="AU164" s="61">
        <v>2273083</v>
      </c>
      <c r="AV164" s="61">
        <v>2688465</v>
      </c>
      <c r="AW164" s="65">
        <v>0.999</v>
      </c>
      <c r="AX164">
        <f t="shared" si="26"/>
        <v>99900000</v>
      </c>
      <c r="AY164" s="78">
        <f t="shared" si="37"/>
        <v>0.999</v>
      </c>
    </row>
    <row r="165" spans="1:51" x14ac:dyDescent="0.25">
      <c r="A165" s="57"/>
      <c r="B165" s="56" t="s">
        <v>104</v>
      </c>
      <c r="C165" s="57">
        <v>1993.02</v>
      </c>
      <c r="D165" s="54" t="s">
        <v>112</v>
      </c>
      <c r="E165" s="54">
        <v>1000</v>
      </c>
      <c r="F165" s="63">
        <v>1</v>
      </c>
      <c r="G165" s="61">
        <v>8091601</v>
      </c>
      <c r="H165" s="61">
        <f t="shared" si="27"/>
        <v>8091601000</v>
      </c>
      <c r="I165" s="146">
        <f t="shared" si="28"/>
        <v>0.999</v>
      </c>
      <c r="J165" s="61">
        <f t="shared" si="29"/>
        <v>8099700700.7007008</v>
      </c>
      <c r="K165" s="61">
        <f t="shared" si="30"/>
        <v>10180838000</v>
      </c>
      <c r="L165" s="61">
        <f t="shared" si="31"/>
        <v>24077877000</v>
      </c>
      <c r="M165" s="61">
        <f t="shared" si="32"/>
        <v>11586166000</v>
      </c>
      <c r="N165" s="86">
        <v>90.229900000000001</v>
      </c>
      <c r="O165" s="80">
        <f t="shared" si="33"/>
        <v>1.1071717911690027E-2</v>
      </c>
      <c r="P165" s="61">
        <f t="shared" si="34"/>
        <v>112832198.63925372</v>
      </c>
      <c r="Q165" s="61">
        <f t="shared" si="35"/>
        <v>266850312.36873809</v>
      </c>
      <c r="R165" s="61">
        <f t="shared" si="36"/>
        <v>128407168.79881281</v>
      </c>
      <c r="S165" s="61">
        <v>10180838</v>
      </c>
      <c r="T165" s="61">
        <v>1041791</v>
      </c>
      <c r="U165" s="61">
        <v>1041791</v>
      </c>
      <c r="V165" s="61">
        <v>0</v>
      </c>
      <c r="W165" s="61">
        <v>1041791</v>
      </c>
      <c r="X165" s="61">
        <v>160327</v>
      </c>
      <c r="Y165" s="61">
        <v>881464</v>
      </c>
      <c r="Z165" s="61">
        <v>0</v>
      </c>
      <c r="AA165" s="61">
        <v>9139047</v>
      </c>
      <c r="AB165" s="61">
        <v>1405192</v>
      </c>
      <c r="AC165" s="61">
        <v>7733855</v>
      </c>
      <c r="AD165" s="61">
        <v>24077877</v>
      </c>
      <c r="AE165" s="61">
        <v>42350316</v>
      </c>
      <c r="AF165" s="61">
        <v>30764150</v>
      </c>
      <c r="AG165" s="61">
        <v>1048352</v>
      </c>
      <c r="AH165" s="61">
        <v>1041834</v>
      </c>
      <c r="AI165" s="61">
        <v>0</v>
      </c>
      <c r="AJ165" s="61">
        <v>214163</v>
      </c>
      <c r="AK165" s="61">
        <v>827671</v>
      </c>
      <c r="AL165" s="61">
        <v>6518</v>
      </c>
      <c r="AM165" s="61">
        <v>0</v>
      </c>
      <c r="AN165" s="61">
        <v>0</v>
      </c>
      <c r="AO165" s="61"/>
      <c r="AP165" s="61">
        <v>0</v>
      </c>
      <c r="AQ165" s="61">
        <v>29715798</v>
      </c>
      <c r="AR165" s="61">
        <v>11586166</v>
      </c>
      <c r="AS165" s="61">
        <v>9010454</v>
      </c>
      <c r="AT165" s="61">
        <v>6919053</v>
      </c>
      <c r="AU165" s="61">
        <v>2091401</v>
      </c>
      <c r="AV165" s="61">
        <v>2575712</v>
      </c>
      <c r="AW165" s="65">
        <v>0.999</v>
      </c>
      <c r="AX165">
        <f t="shared" si="26"/>
        <v>99900000</v>
      </c>
      <c r="AY165" s="78">
        <f t="shared" si="37"/>
        <v>0.999</v>
      </c>
    </row>
    <row r="166" spans="1:51" x14ac:dyDescent="0.25">
      <c r="A166" s="57"/>
      <c r="B166" s="56" t="s">
        <v>105</v>
      </c>
      <c r="C166" s="57">
        <v>1993.03</v>
      </c>
      <c r="D166" s="54" t="s">
        <v>112</v>
      </c>
      <c r="E166" s="54">
        <v>1000</v>
      </c>
      <c r="F166" s="63">
        <v>1</v>
      </c>
      <c r="G166" s="61">
        <v>8046062</v>
      </c>
      <c r="H166" s="61">
        <f t="shared" si="27"/>
        <v>8046062000</v>
      </c>
      <c r="I166" s="146">
        <f t="shared" si="28"/>
        <v>0.999</v>
      </c>
      <c r="J166" s="61">
        <f t="shared" si="29"/>
        <v>8054116116.1161165</v>
      </c>
      <c r="K166" s="61">
        <f t="shared" si="30"/>
        <v>10094719000</v>
      </c>
      <c r="L166" s="61">
        <f t="shared" si="31"/>
        <v>24476954000</v>
      </c>
      <c r="M166" s="61">
        <f t="shared" si="32"/>
        <v>10517159000</v>
      </c>
      <c r="N166" s="86">
        <v>90.908299999999997</v>
      </c>
      <c r="O166" s="80">
        <f t="shared" si="33"/>
        <v>1.0989095605131765E-2</v>
      </c>
      <c r="P166" s="61">
        <f t="shared" si="34"/>
        <v>111042875.07301314</v>
      </c>
      <c r="Q166" s="61">
        <f t="shared" si="35"/>
        <v>269248836.46487725</v>
      </c>
      <c r="R166" s="61">
        <f t="shared" si="36"/>
        <v>115689755.50087287</v>
      </c>
      <c r="S166" s="61">
        <v>10094719</v>
      </c>
      <c r="T166" s="61">
        <v>1055360</v>
      </c>
      <c r="U166" s="61">
        <v>1055360</v>
      </c>
      <c r="V166" s="61">
        <v>0</v>
      </c>
      <c r="W166" s="61">
        <v>1055360</v>
      </c>
      <c r="X166" s="61">
        <v>173896</v>
      </c>
      <c r="Y166" s="61">
        <v>881464</v>
      </c>
      <c r="Z166" s="61">
        <v>0</v>
      </c>
      <c r="AA166" s="61">
        <v>9039359</v>
      </c>
      <c r="AB166" s="61">
        <v>1361671</v>
      </c>
      <c r="AC166" s="61">
        <v>7677688</v>
      </c>
      <c r="AD166" s="61">
        <v>24476954</v>
      </c>
      <c r="AE166" s="61">
        <v>42617735</v>
      </c>
      <c r="AF166" s="61">
        <v>32100576</v>
      </c>
      <c r="AG166" s="61">
        <v>1858608</v>
      </c>
      <c r="AH166" s="61">
        <v>1835406</v>
      </c>
      <c r="AI166" s="61">
        <v>700000</v>
      </c>
      <c r="AJ166" s="61">
        <v>307735</v>
      </c>
      <c r="AK166" s="61">
        <v>827671</v>
      </c>
      <c r="AL166" s="61">
        <v>23202</v>
      </c>
      <c r="AM166" s="61">
        <v>0</v>
      </c>
      <c r="AN166" s="61">
        <v>0</v>
      </c>
      <c r="AO166" s="61"/>
      <c r="AP166" s="61">
        <v>0</v>
      </c>
      <c r="AQ166" s="61">
        <v>30241968</v>
      </c>
      <c r="AR166" s="61">
        <v>10517159</v>
      </c>
      <c r="AS166" s="61">
        <v>8764644</v>
      </c>
      <c r="AT166" s="61">
        <v>6652448</v>
      </c>
      <c r="AU166" s="61">
        <v>2112196</v>
      </c>
      <c r="AV166" s="61">
        <v>1752515</v>
      </c>
      <c r="AW166" s="65">
        <v>0.999</v>
      </c>
      <c r="AX166">
        <f t="shared" si="26"/>
        <v>99900000</v>
      </c>
      <c r="AY166" s="78">
        <f t="shared" si="37"/>
        <v>0.999</v>
      </c>
    </row>
    <row r="167" spans="1:51" x14ac:dyDescent="0.25">
      <c r="A167" s="57"/>
      <c r="B167" s="56" t="s">
        <v>106</v>
      </c>
      <c r="C167" s="57">
        <v>1993.04</v>
      </c>
      <c r="D167" s="54" t="s">
        <v>112</v>
      </c>
      <c r="E167" s="54">
        <v>1000</v>
      </c>
      <c r="F167" s="63">
        <v>1</v>
      </c>
      <c r="G167" s="61">
        <v>7515833</v>
      </c>
      <c r="H167" s="61">
        <f t="shared" si="27"/>
        <v>7515833000</v>
      </c>
      <c r="I167" s="146">
        <f t="shared" si="28"/>
        <v>0.999</v>
      </c>
      <c r="J167" s="61">
        <f t="shared" si="29"/>
        <v>7523356356.3563566</v>
      </c>
      <c r="K167" s="61">
        <f t="shared" si="30"/>
        <v>10404264000</v>
      </c>
      <c r="L167" s="61">
        <f t="shared" si="31"/>
        <v>24773684000</v>
      </c>
      <c r="M167" s="61">
        <f t="shared" si="32"/>
        <v>11866411000</v>
      </c>
      <c r="N167" s="86">
        <v>91.858599999999996</v>
      </c>
      <c r="O167" s="80">
        <f t="shared" si="33"/>
        <v>1.0875410685553666E-2</v>
      </c>
      <c r="P167" s="61">
        <f t="shared" si="34"/>
        <v>113263907.78871004</v>
      </c>
      <c r="Q167" s="61">
        <f t="shared" si="35"/>
        <v>269693681.37550539</v>
      </c>
      <c r="R167" s="61">
        <f t="shared" si="36"/>
        <v>129181274.2628344</v>
      </c>
      <c r="S167" s="61">
        <v>10404264</v>
      </c>
      <c r="T167" s="61">
        <v>1072758</v>
      </c>
      <c r="U167" s="61">
        <v>1072758</v>
      </c>
      <c r="V167" s="61">
        <v>0</v>
      </c>
      <c r="W167" s="61">
        <v>1072758</v>
      </c>
      <c r="X167" s="61">
        <v>191294</v>
      </c>
      <c r="Y167" s="61">
        <v>881464</v>
      </c>
      <c r="Z167" s="61">
        <v>0</v>
      </c>
      <c r="AA167" s="61">
        <v>9331506</v>
      </c>
      <c r="AB167" s="61">
        <v>1469685</v>
      </c>
      <c r="AC167" s="61">
        <v>7861821</v>
      </c>
      <c r="AD167" s="61">
        <v>24773684</v>
      </c>
      <c r="AE167" s="61">
        <v>42693781</v>
      </c>
      <c r="AF167" s="61">
        <v>30827370</v>
      </c>
      <c r="AG167" s="61">
        <v>272154</v>
      </c>
      <c r="AH167" s="61">
        <v>247698</v>
      </c>
      <c r="AI167" s="61">
        <v>0</v>
      </c>
      <c r="AJ167" s="61">
        <v>246626</v>
      </c>
      <c r="AK167" s="61">
        <v>1072</v>
      </c>
      <c r="AL167" s="61">
        <v>24456</v>
      </c>
      <c r="AM167" s="61">
        <v>0</v>
      </c>
      <c r="AN167" s="61">
        <v>0</v>
      </c>
      <c r="AO167" s="61"/>
      <c r="AP167" s="61">
        <v>0</v>
      </c>
      <c r="AQ167" s="61">
        <v>30555216</v>
      </c>
      <c r="AR167" s="61">
        <v>11866411</v>
      </c>
      <c r="AS167" s="61">
        <v>9079562</v>
      </c>
      <c r="AT167" s="61">
        <v>7166815</v>
      </c>
      <c r="AU167" s="61">
        <v>1912747</v>
      </c>
      <c r="AV167" s="61">
        <v>2786849</v>
      </c>
      <c r="AW167" s="65">
        <v>0.999</v>
      </c>
      <c r="AX167">
        <f t="shared" si="26"/>
        <v>99900000</v>
      </c>
      <c r="AY167" s="78">
        <f t="shared" si="37"/>
        <v>0.999</v>
      </c>
    </row>
    <row r="168" spans="1:51" x14ac:dyDescent="0.25">
      <c r="A168" s="57"/>
      <c r="B168" s="56" t="s">
        <v>107</v>
      </c>
      <c r="C168" s="57">
        <v>1993.05</v>
      </c>
      <c r="D168" s="54" t="s">
        <v>112</v>
      </c>
      <c r="E168" s="54">
        <v>1000</v>
      </c>
      <c r="F168" s="63">
        <v>1</v>
      </c>
      <c r="G168" s="61">
        <v>7753022</v>
      </c>
      <c r="H168" s="61">
        <f t="shared" si="27"/>
        <v>7753022000</v>
      </c>
      <c r="I168" s="146">
        <f t="shared" si="28"/>
        <v>0.999</v>
      </c>
      <c r="J168" s="61">
        <f t="shared" si="29"/>
        <v>7760782782.7827826</v>
      </c>
      <c r="K168" s="61">
        <f t="shared" si="30"/>
        <v>10389984000</v>
      </c>
      <c r="L168" s="61">
        <f t="shared" si="31"/>
        <v>24667426000</v>
      </c>
      <c r="M168" s="61">
        <f t="shared" si="32"/>
        <v>11997927000</v>
      </c>
      <c r="N168" s="86">
        <v>93.040400000000005</v>
      </c>
      <c r="O168" s="80">
        <f t="shared" si="33"/>
        <v>1.0737271120932411E-2</v>
      </c>
      <c r="P168" s="61">
        <f t="shared" si="34"/>
        <v>111671746.89704686</v>
      </c>
      <c r="Q168" s="61">
        <f t="shared" si="35"/>
        <v>265125966.78432164</v>
      </c>
      <c r="R168" s="61">
        <f t="shared" si="36"/>
        <v>128953949.03719243</v>
      </c>
      <c r="S168" s="61">
        <v>10389984</v>
      </c>
      <c r="T168" s="61">
        <v>1055369</v>
      </c>
      <c r="U168" s="61">
        <v>1055369</v>
      </c>
      <c r="V168" s="61">
        <v>0</v>
      </c>
      <c r="W168" s="61">
        <v>1055369</v>
      </c>
      <c r="X168" s="61">
        <v>173905</v>
      </c>
      <c r="Y168" s="61">
        <v>881464</v>
      </c>
      <c r="Z168" s="61">
        <v>0</v>
      </c>
      <c r="AA168" s="61">
        <v>9334615</v>
      </c>
      <c r="AB168" s="61">
        <v>1487067</v>
      </c>
      <c r="AC168" s="61">
        <v>7847548</v>
      </c>
      <c r="AD168" s="61">
        <v>24667426</v>
      </c>
      <c r="AE168" s="61">
        <v>42810432</v>
      </c>
      <c r="AF168" s="61">
        <v>30812505</v>
      </c>
      <c r="AG168" s="61">
        <v>208914</v>
      </c>
      <c r="AH168" s="61">
        <v>179842</v>
      </c>
      <c r="AI168" s="61">
        <v>30000</v>
      </c>
      <c r="AJ168" s="61">
        <v>148364</v>
      </c>
      <c r="AK168" s="61">
        <v>1478</v>
      </c>
      <c r="AL168" s="61">
        <v>29072</v>
      </c>
      <c r="AM168" s="61">
        <v>0</v>
      </c>
      <c r="AN168" s="61">
        <v>0</v>
      </c>
      <c r="AO168" s="61"/>
      <c r="AP168" s="61">
        <v>0</v>
      </c>
      <c r="AQ168" s="61">
        <v>30603591</v>
      </c>
      <c r="AR168" s="61">
        <v>11997927</v>
      </c>
      <c r="AS168" s="61">
        <v>9127027</v>
      </c>
      <c r="AT168" s="61">
        <v>7078207</v>
      </c>
      <c r="AU168" s="61">
        <v>2048820</v>
      </c>
      <c r="AV168" s="61">
        <v>2870900</v>
      </c>
      <c r="AW168" s="65">
        <v>0.999</v>
      </c>
      <c r="AX168">
        <f t="shared" si="26"/>
        <v>99900000</v>
      </c>
      <c r="AY168" s="78">
        <f t="shared" si="37"/>
        <v>0.999</v>
      </c>
    </row>
    <row r="169" spans="1:51" x14ac:dyDescent="0.25">
      <c r="A169" s="57"/>
      <c r="B169" s="56" t="s">
        <v>96</v>
      </c>
      <c r="C169" s="57">
        <v>1993.06</v>
      </c>
      <c r="D169" s="54" t="s">
        <v>112</v>
      </c>
      <c r="E169" s="54">
        <v>1000</v>
      </c>
      <c r="F169" s="63">
        <v>1</v>
      </c>
      <c r="G169" s="61">
        <v>7785006</v>
      </c>
      <c r="H169" s="61">
        <f t="shared" si="27"/>
        <v>7785006000</v>
      </c>
      <c r="I169" s="146">
        <f t="shared" si="28"/>
        <v>0.999</v>
      </c>
      <c r="J169" s="61">
        <f t="shared" si="29"/>
        <v>7792798798.7987986</v>
      </c>
      <c r="K169" s="61">
        <f t="shared" si="30"/>
        <v>10282864000</v>
      </c>
      <c r="L169" s="61">
        <f t="shared" si="31"/>
        <v>25052666000</v>
      </c>
      <c r="M169" s="61">
        <f t="shared" si="32"/>
        <v>11728654000</v>
      </c>
      <c r="N169" s="86">
        <v>93.709599999999995</v>
      </c>
      <c r="O169" s="80">
        <f t="shared" si="33"/>
        <v>1.0660594005310022E-2</v>
      </c>
      <c r="P169" s="61">
        <f t="shared" si="34"/>
        <v>109731169.48530354</v>
      </c>
      <c r="Q169" s="61">
        <f t="shared" si="35"/>
        <v>267343644.62125546</v>
      </c>
      <c r="R169" s="61">
        <f t="shared" si="36"/>
        <v>125159578.10085627</v>
      </c>
      <c r="S169" s="61">
        <v>10282864</v>
      </c>
      <c r="T169" s="61">
        <v>1059754</v>
      </c>
      <c r="U169" s="61">
        <v>1059754</v>
      </c>
      <c r="V169" s="61">
        <v>0</v>
      </c>
      <c r="W169" s="61">
        <v>1059754</v>
      </c>
      <c r="X169" s="61">
        <v>178290</v>
      </c>
      <c r="Y169" s="61">
        <v>881464</v>
      </c>
      <c r="Z169" s="61">
        <v>0</v>
      </c>
      <c r="AA169" s="61">
        <v>9223110</v>
      </c>
      <c r="AB169" s="61">
        <v>1438315</v>
      </c>
      <c r="AC169" s="61">
        <v>7784795</v>
      </c>
      <c r="AD169" s="61">
        <v>25052666</v>
      </c>
      <c r="AE169" s="61">
        <v>43120536</v>
      </c>
      <c r="AF169" s="61">
        <v>31391882</v>
      </c>
      <c r="AG169" s="61">
        <v>428961</v>
      </c>
      <c r="AH169" s="61">
        <v>407930</v>
      </c>
      <c r="AI169" s="61">
        <v>200000</v>
      </c>
      <c r="AJ169" s="61">
        <v>105049</v>
      </c>
      <c r="AK169" s="61">
        <v>102881</v>
      </c>
      <c r="AL169" s="61">
        <v>21031</v>
      </c>
      <c r="AM169" s="61">
        <v>0</v>
      </c>
      <c r="AN169" s="61">
        <v>0</v>
      </c>
      <c r="AO169" s="61"/>
      <c r="AP169" s="61">
        <v>0</v>
      </c>
      <c r="AQ169" s="61">
        <v>30962921</v>
      </c>
      <c r="AR169" s="61">
        <v>11728654</v>
      </c>
      <c r="AS169" s="61">
        <v>9666223</v>
      </c>
      <c r="AT169" s="61">
        <v>7501832</v>
      </c>
      <c r="AU169" s="61">
        <v>2164391</v>
      </c>
      <c r="AV169" s="61">
        <v>2062431</v>
      </c>
      <c r="AW169" s="65">
        <v>0.999</v>
      </c>
      <c r="AX169">
        <f t="shared" si="26"/>
        <v>99900000</v>
      </c>
      <c r="AY169" s="78">
        <f t="shared" si="37"/>
        <v>0.999</v>
      </c>
    </row>
    <row r="170" spans="1:51" x14ac:dyDescent="0.25">
      <c r="A170" s="57"/>
      <c r="B170" s="56" t="s">
        <v>97</v>
      </c>
      <c r="C170" s="57">
        <v>1993.07</v>
      </c>
      <c r="D170" s="54" t="s">
        <v>112</v>
      </c>
      <c r="E170" s="54">
        <v>1000</v>
      </c>
      <c r="F170" s="63">
        <v>1</v>
      </c>
      <c r="G170" s="61">
        <v>8980490</v>
      </c>
      <c r="H170" s="61">
        <f t="shared" si="27"/>
        <v>8980490000</v>
      </c>
      <c r="I170" s="146">
        <f t="shared" si="28"/>
        <v>0.999</v>
      </c>
      <c r="J170" s="61">
        <f t="shared" si="29"/>
        <v>8989479479.4794788</v>
      </c>
      <c r="K170" s="61">
        <f t="shared" si="30"/>
        <v>10468754000</v>
      </c>
      <c r="L170" s="61">
        <f t="shared" si="31"/>
        <v>25076037000</v>
      </c>
      <c r="M170" s="61">
        <f t="shared" si="32"/>
        <v>13214501000</v>
      </c>
      <c r="N170" s="86">
        <v>94.011099999999999</v>
      </c>
      <c r="O170" s="80">
        <f t="shared" si="33"/>
        <v>1.0626404754332202E-2</v>
      </c>
      <c r="P170" s="61">
        <f t="shared" si="34"/>
        <v>111356573.85138564</v>
      </c>
      <c r="Q170" s="61">
        <f t="shared" si="35"/>
        <v>266734853.65026045</v>
      </c>
      <c r="R170" s="61">
        <f t="shared" si="36"/>
        <v>140563199.45197961</v>
      </c>
      <c r="S170" s="61">
        <v>10468754</v>
      </c>
      <c r="T170" s="61">
        <v>886148</v>
      </c>
      <c r="U170" s="61">
        <v>886148</v>
      </c>
      <c r="V170" s="61">
        <v>0</v>
      </c>
      <c r="W170" s="61">
        <v>886148</v>
      </c>
      <c r="X170" s="61">
        <v>4685</v>
      </c>
      <c r="Y170" s="61">
        <v>881463</v>
      </c>
      <c r="Z170" s="61">
        <v>0</v>
      </c>
      <c r="AA170" s="61">
        <v>9582606</v>
      </c>
      <c r="AB170" s="61">
        <v>1593045</v>
      </c>
      <c r="AC170" s="61">
        <v>7989561</v>
      </c>
      <c r="AD170" s="61">
        <v>25076037</v>
      </c>
      <c r="AE170" s="61">
        <v>44525281</v>
      </c>
      <c r="AF170" s="61">
        <v>31310780</v>
      </c>
      <c r="AG170" s="61">
        <v>246897</v>
      </c>
      <c r="AH170" s="61">
        <v>228946</v>
      </c>
      <c r="AI170" s="61">
        <v>0</v>
      </c>
      <c r="AJ170" s="61">
        <v>228886</v>
      </c>
      <c r="AK170" s="61">
        <v>60</v>
      </c>
      <c r="AL170" s="61">
        <v>17951</v>
      </c>
      <c r="AM170" s="61">
        <v>0</v>
      </c>
      <c r="AN170" s="61">
        <v>0</v>
      </c>
      <c r="AO170" s="61"/>
      <c r="AP170" s="61">
        <v>0</v>
      </c>
      <c r="AQ170" s="61">
        <v>31063883</v>
      </c>
      <c r="AR170" s="61">
        <v>13214501</v>
      </c>
      <c r="AS170" s="61">
        <v>10056357</v>
      </c>
      <c r="AT170" s="61">
        <v>8058338</v>
      </c>
      <c r="AU170" s="61">
        <v>1998019</v>
      </c>
      <c r="AV170" s="61">
        <v>3158144</v>
      </c>
      <c r="AW170" s="65">
        <v>0.999</v>
      </c>
      <c r="AX170">
        <f t="shared" si="26"/>
        <v>99900000</v>
      </c>
      <c r="AY170" s="78">
        <f t="shared" si="37"/>
        <v>0.999</v>
      </c>
    </row>
    <row r="171" spans="1:51" x14ac:dyDescent="0.25">
      <c r="A171" s="57"/>
      <c r="B171" s="56" t="s">
        <v>98</v>
      </c>
      <c r="C171" s="57">
        <v>1993.08</v>
      </c>
      <c r="D171" s="54" t="s">
        <v>112</v>
      </c>
      <c r="E171" s="54">
        <v>1000</v>
      </c>
      <c r="F171" s="63">
        <v>1</v>
      </c>
      <c r="G171" s="61">
        <v>10472617</v>
      </c>
      <c r="H171" s="61">
        <f t="shared" si="27"/>
        <v>10472617000</v>
      </c>
      <c r="I171" s="146">
        <f t="shared" si="28"/>
        <v>0.999</v>
      </c>
      <c r="J171" s="61">
        <f t="shared" si="29"/>
        <v>10483100100.1001</v>
      </c>
      <c r="K171" s="61">
        <f t="shared" si="30"/>
        <v>10540698000</v>
      </c>
      <c r="L171" s="61">
        <f t="shared" si="31"/>
        <v>25250409000</v>
      </c>
      <c r="M171" s="61">
        <f t="shared" si="32"/>
        <v>14564172000</v>
      </c>
      <c r="N171" s="86">
        <v>94.0261</v>
      </c>
      <c r="O171" s="80">
        <f t="shared" si="33"/>
        <v>1.0624709522143319E-2</v>
      </c>
      <c r="P171" s="61">
        <f t="shared" si="34"/>
        <v>112103958.36900605</v>
      </c>
      <c r="Q171" s="61">
        <f t="shared" si="35"/>
        <v>268546807.74806142</v>
      </c>
      <c r="R171" s="61">
        <f t="shared" si="36"/>
        <v>154894991.92245558</v>
      </c>
      <c r="S171" s="61">
        <v>10540698</v>
      </c>
      <c r="T171" s="61">
        <v>885715</v>
      </c>
      <c r="U171" s="61">
        <v>885715</v>
      </c>
      <c r="V171" s="61">
        <v>0</v>
      </c>
      <c r="W171" s="61">
        <v>885715</v>
      </c>
      <c r="X171" s="61">
        <v>4252</v>
      </c>
      <c r="Y171" s="61">
        <v>881463</v>
      </c>
      <c r="Z171" s="61">
        <v>0</v>
      </c>
      <c r="AA171" s="61">
        <v>9654983</v>
      </c>
      <c r="AB171" s="61">
        <v>1709017</v>
      </c>
      <c r="AC171" s="61">
        <v>7945966</v>
      </c>
      <c r="AD171" s="61">
        <v>25250409</v>
      </c>
      <c r="AE171" s="61">
        <v>46263724</v>
      </c>
      <c r="AF171" s="61">
        <v>31699552</v>
      </c>
      <c r="AG171" s="61">
        <v>609446</v>
      </c>
      <c r="AH171" s="61">
        <v>592265</v>
      </c>
      <c r="AI171" s="61">
        <v>0</v>
      </c>
      <c r="AJ171" s="61">
        <v>590427</v>
      </c>
      <c r="AK171" s="61">
        <v>1838</v>
      </c>
      <c r="AL171" s="61">
        <v>17181</v>
      </c>
      <c r="AM171" s="61">
        <v>0</v>
      </c>
      <c r="AN171" s="61">
        <v>0</v>
      </c>
      <c r="AO171" s="61"/>
      <c r="AP171" s="61">
        <v>0</v>
      </c>
      <c r="AQ171" s="61">
        <v>31090106</v>
      </c>
      <c r="AR171" s="61">
        <v>14564172</v>
      </c>
      <c r="AS171" s="61">
        <v>10100598</v>
      </c>
      <c r="AT171" s="61">
        <v>8019707</v>
      </c>
      <c r="AU171" s="61">
        <v>2080891</v>
      </c>
      <c r="AV171" s="61">
        <v>4463574</v>
      </c>
      <c r="AW171" s="65">
        <v>0.999</v>
      </c>
      <c r="AX171">
        <f t="shared" si="26"/>
        <v>99900000</v>
      </c>
      <c r="AY171" s="78">
        <f t="shared" si="37"/>
        <v>0.999</v>
      </c>
    </row>
    <row r="172" spans="1:51" x14ac:dyDescent="0.25">
      <c r="A172" s="57"/>
      <c r="B172" s="56" t="s">
        <v>99</v>
      </c>
      <c r="C172" s="57">
        <v>1993.09</v>
      </c>
      <c r="D172" s="54" t="s">
        <v>112</v>
      </c>
      <c r="E172" s="54">
        <v>1000</v>
      </c>
      <c r="F172" s="63">
        <v>1</v>
      </c>
      <c r="G172" s="61">
        <v>9493599</v>
      </c>
      <c r="H172" s="61">
        <f t="shared" si="27"/>
        <v>9493599000</v>
      </c>
      <c r="I172" s="146">
        <f t="shared" si="28"/>
        <v>0.999</v>
      </c>
      <c r="J172" s="61">
        <f t="shared" si="29"/>
        <v>9503102102.1021023</v>
      </c>
      <c r="K172" s="61">
        <f t="shared" si="30"/>
        <v>10592695000</v>
      </c>
      <c r="L172" s="61">
        <f t="shared" si="31"/>
        <v>25388954000</v>
      </c>
      <c r="M172" s="61">
        <f t="shared" si="32"/>
        <v>13111244000</v>
      </c>
      <c r="N172" s="86">
        <v>94.801000000000002</v>
      </c>
      <c r="O172" s="80">
        <f t="shared" si="33"/>
        <v>1.0537863524646364E-2</v>
      </c>
      <c r="P172" s="61">
        <f t="shared" si="34"/>
        <v>111736110.37858251</v>
      </c>
      <c r="Q172" s="61">
        <f t="shared" si="35"/>
        <v>267813145.43095535</v>
      </c>
      <c r="R172" s="61">
        <f t="shared" si="36"/>
        <v>138302802.71305156</v>
      </c>
      <c r="S172" s="61">
        <v>10592695</v>
      </c>
      <c r="T172" s="61">
        <v>885689</v>
      </c>
      <c r="U172" s="61">
        <v>885689</v>
      </c>
      <c r="V172" s="61">
        <v>0</v>
      </c>
      <c r="W172" s="61">
        <v>885689</v>
      </c>
      <c r="X172" s="61">
        <v>4226</v>
      </c>
      <c r="Y172" s="61">
        <v>881463</v>
      </c>
      <c r="Z172" s="61">
        <v>0</v>
      </c>
      <c r="AA172" s="61">
        <v>9707006</v>
      </c>
      <c r="AB172" s="61">
        <v>1755466</v>
      </c>
      <c r="AC172" s="61">
        <v>7951540</v>
      </c>
      <c r="AD172" s="61">
        <v>25388954</v>
      </c>
      <c r="AE172" s="61">
        <v>45475248</v>
      </c>
      <c r="AF172" s="61">
        <v>32364004</v>
      </c>
      <c r="AG172" s="61">
        <v>1191771</v>
      </c>
      <c r="AH172" s="61">
        <v>1170005</v>
      </c>
      <c r="AI172" s="61">
        <v>800000</v>
      </c>
      <c r="AJ172" s="61">
        <v>278468</v>
      </c>
      <c r="AK172" s="61">
        <v>91537</v>
      </c>
      <c r="AL172" s="61">
        <v>21766</v>
      </c>
      <c r="AM172" s="61">
        <v>0</v>
      </c>
      <c r="AN172" s="61">
        <v>0</v>
      </c>
      <c r="AO172" s="61"/>
      <c r="AP172" s="61">
        <v>0</v>
      </c>
      <c r="AQ172" s="61">
        <v>31172233</v>
      </c>
      <c r="AR172" s="61">
        <v>13111244</v>
      </c>
      <c r="AS172" s="61">
        <v>10220928</v>
      </c>
      <c r="AT172" s="61">
        <v>8063535</v>
      </c>
      <c r="AU172" s="61">
        <v>2157393</v>
      </c>
      <c r="AV172" s="61">
        <v>2890316</v>
      </c>
      <c r="AW172" s="65">
        <v>0.999</v>
      </c>
      <c r="AX172">
        <f t="shared" si="26"/>
        <v>99900000</v>
      </c>
      <c r="AY172" s="78">
        <f t="shared" si="37"/>
        <v>0.999</v>
      </c>
    </row>
    <row r="173" spans="1:51" x14ac:dyDescent="0.25">
      <c r="A173" s="57"/>
      <c r="B173" s="56" t="s">
        <v>100</v>
      </c>
      <c r="C173" s="57">
        <v>1993.1</v>
      </c>
      <c r="D173" s="54" t="s">
        <v>112</v>
      </c>
      <c r="E173" s="54">
        <v>1000</v>
      </c>
      <c r="F173" s="63">
        <v>1</v>
      </c>
      <c r="G173" s="61">
        <v>9729673</v>
      </c>
      <c r="H173" s="61">
        <f t="shared" si="27"/>
        <v>9729673000</v>
      </c>
      <c r="I173" s="146">
        <f t="shared" si="28"/>
        <v>0.999</v>
      </c>
      <c r="J173" s="61">
        <f t="shared" si="29"/>
        <v>9739412412.4124126</v>
      </c>
      <c r="K173" s="61">
        <f t="shared" si="30"/>
        <v>10571019000</v>
      </c>
      <c r="L173" s="61">
        <f t="shared" si="31"/>
        <v>25415135000</v>
      </c>
      <c r="M173" s="61">
        <f t="shared" si="32"/>
        <v>14203765000</v>
      </c>
      <c r="N173" s="86">
        <v>95.3369</v>
      </c>
      <c r="O173" s="80">
        <f t="shared" si="33"/>
        <v>1.0478628946399558E-2</v>
      </c>
      <c r="P173" s="61">
        <f t="shared" si="34"/>
        <v>110880666.3526924</v>
      </c>
      <c r="Q173" s="61">
        <f t="shared" si="35"/>
        <v>266582351.63929182</v>
      </c>
      <c r="R173" s="61">
        <f t="shared" si="36"/>
        <v>148984968.04490182</v>
      </c>
      <c r="S173" s="61">
        <v>10571019</v>
      </c>
      <c r="T173" s="61">
        <v>885704</v>
      </c>
      <c r="U173" s="61">
        <v>885704</v>
      </c>
      <c r="V173" s="61">
        <v>0</v>
      </c>
      <c r="W173" s="61">
        <v>885704</v>
      </c>
      <c r="X173" s="61">
        <v>4241</v>
      </c>
      <c r="Y173" s="61">
        <v>881463</v>
      </c>
      <c r="Z173" s="61">
        <v>0</v>
      </c>
      <c r="AA173" s="61">
        <v>9685315</v>
      </c>
      <c r="AB173" s="61">
        <v>1760769</v>
      </c>
      <c r="AC173" s="61">
        <v>7924546</v>
      </c>
      <c r="AD173" s="61">
        <v>25415135</v>
      </c>
      <c r="AE173" s="61">
        <v>45715827</v>
      </c>
      <c r="AF173" s="61">
        <v>31512062</v>
      </c>
      <c r="AG173" s="61">
        <v>161836</v>
      </c>
      <c r="AH173" s="61">
        <v>146465</v>
      </c>
      <c r="AI173" s="61">
        <v>0</v>
      </c>
      <c r="AJ173" s="61">
        <v>144306</v>
      </c>
      <c r="AK173" s="61">
        <v>2159</v>
      </c>
      <c r="AL173" s="61">
        <v>15371</v>
      </c>
      <c r="AM173" s="61">
        <v>0</v>
      </c>
      <c r="AN173" s="61">
        <v>0</v>
      </c>
      <c r="AO173" s="61"/>
      <c r="AP173" s="61">
        <v>0</v>
      </c>
      <c r="AQ173" s="61">
        <v>31350226</v>
      </c>
      <c r="AR173" s="61">
        <v>14203765</v>
      </c>
      <c r="AS173" s="61">
        <v>10004766</v>
      </c>
      <c r="AT173" s="61">
        <v>8063452</v>
      </c>
      <c r="AU173" s="61">
        <v>1941314</v>
      </c>
      <c r="AV173" s="61">
        <v>4198999</v>
      </c>
      <c r="AW173" s="65">
        <v>0.999</v>
      </c>
      <c r="AX173">
        <f t="shared" si="26"/>
        <v>99900000</v>
      </c>
      <c r="AY173" s="78">
        <f t="shared" si="37"/>
        <v>0.999</v>
      </c>
    </row>
    <row r="174" spans="1:51" x14ac:dyDescent="0.25">
      <c r="A174" s="57"/>
      <c r="B174" s="56" t="s">
        <v>101</v>
      </c>
      <c r="C174" s="57">
        <v>1993.11</v>
      </c>
      <c r="D174" s="54" t="s">
        <v>112</v>
      </c>
      <c r="E174" s="54">
        <v>1000</v>
      </c>
      <c r="F174" s="63">
        <v>1</v>
      </c>
      <c r="G174" s="61">
        <v>9590946</v>
      </c>
      <c r="H174" s="61">
        <f t="shared" si="27"/>
        <v>9590946000</v>
      </c>
      <c r="I174" s="146">
        <f t="shared" si="28"/>
        <v>0.999</v>
      </c>
      <c r="J174" s="61">
        <f t="shared" si="29"/>
        <v>9600546546.5465469</v>
      </c>
      <c r="K174" s="61">
        <f t="shared" si="30"/>
        <v>10708024000</v>
      </c>
      <c r="L174" s="61">
        <f t="shared" si="31"/>
        <v>23450588000</v>
      </c>
      <c r="M174" s="61">
        <f t="shared" si="32"/>
        <v>14405784000</v>
      </c>
      <c r="N174" s="86">
        <v>95.391400000000004</v>
      </c>
      <c r="O174" s="80">
        <f t="shared" si="33"/>
        <v>1.0472642187870185E-2</v>
      </c>
      <c r="P174" s="61">
        <f t="shared" si="34"/>
        <v>112253557.44857502</v>
      </c>
      <c r="Q174" s="61">
        <f t="shared" si="35"/>
        <v>245835452.67183414</v>
      </c>
      <c r="R174" s="61">
        <f t="shared" si="36"/>
        <v>151017638.90665194</v>
      </c>
      <c r="S174" s="61">
        <v>10708024</v>
      </c>
      <c r="T174" s="61">
        <v>886041</v>
      </c>
      <c r="U174" s="61">
        <v>886041</v>
      </c>
      <c r="V174" s="61">
        <v>0</v>
      </c>
      <c r="W174" s="61">
        <v>886041</v>
      </c>
      <c r="X174" s="61">
        <v>4578</v>
      </c>
      <c r="Y174" s="61">
        <v>881463</v>
      </c>
      <c r="Z174" s="61">
        <v>0</v>
      </c>
      <c r="AA174" s="61">
        <v>9821983</v>
      </c>
      <c r="AB174" s="61">
        <v>1756633</v>
      </c>
      <c r="AC174" s="61">
        <v>8065350</v>
      </c>
      <c r="AD174" s="61">
        <v>23450588</v>
      </c>
      <c r="AE174" s="61">
        <v>43749558</v>
      </c>
      <c r="AF174" s="61">
        <v>29343774</v>
      </c>
      <c r="AG174" s="61">
        <v>151747</v>
      </c>
      <c r="AH174" s="61">
        <v>137962</v>
      </c>
      <c r="AI174" s="61">
        <v>0</v>
      </c>
      <c r="AJ174" s="61">
        <v>137460</v>
      </c>
      <c r="AK174" s="61">
        <v>502</v>
      </c>
      <c r="AL174" s="61">
        <v>13785</v>
      </c>
      <c r="AM174" s="61">
        <v>0</v>
      </c>
      <c r="AN174" s="61">
        <v>0</v>
      </c>
      <c r="AO174" s="61"/>
      <c r="AP174" s="61">
        <v>0</v>
      </c>
      <c r="AQ174" s="61">
        <v>29192027</v>
      </c>
      <c r="AR174" s="61">
        <v>14405784</v>
      </c>
      <c r="AS174" s="61">
        <v>10116897</v>
      </c>
      <c r="AT174" s="61">
        <v>7946692</v>
      </c>
      <c r="AU174" s="61">
        <v>2170205</v>
      </c>
      <c r="AV174" s="61">
        <v>4288887</v>
      </c>
      <c r="AW174" s="65">
        <v>0.999</v>
      </c>
      <c r="AX174">
        <f t="shared" si="26"/>
        <v>99900000</v>
      </c>
      <c r="AY174" s="78">
        <f t="shared" si="37"/>
        <v>0.999</v>
      </c>
    </row>
    <row r="175" spans="1:51" x14ac:dyDescent="0.25">
      <c r="A175" s="57"/>
      <c r="B175" s="56" t="s">
        <v>102</v>
      </c>
      <c r="C175" s="57">
        <v>1993.12</v>
      </c>
      <c r="D175" s="54" t="s">
        <v>112</v>
      </c>
      <c r="E175" s="54">
        <v>1000</v>
      </c>
      <c r="F175" s="63">
        <v>1</v>
      </c>
      <c r="G175" s="61">
        <v>11632870</v>
      </c>
      <c r="H175" s="61">
        <f t="shared" si="27"/>
        <v>11632870000</v>
      </c>
      <c r="I175" s="146">
        <f t="shared" si="28"/>
        <v>0.999</v>
      </c>
      <c r="J175" s="61">
        <f t="shared" si="29"/>
        <v>11644514514.514515</v>
      </c>
      <c r="K175" s="61">
        <f t="shared" si="30"/>
        <v>11432970000</v>
      </c>
      <c r="L175" s="61">
        <f t="shared" si="31"/>
        <v>22531567000</v>
      </c>
      <c r="M175" s="61">
        <f t="shared" si="32"/>
        <v>14989161000</v>
      </c>
      <c r="N175" s="86">
        <v>95.378900000000002</v>
      </c>
      <c r="O175" s="80">
        <f t="shared" si="33"/>
        <v>1.0474014692977167E-2</v>
      </c>
      <c r="P175" s="61">
        <f t="shared" si="34"/>
        <v>119868964.72909626</v>
      </c>
      <c r="Q175" s="61">
        <f t="shared" si="35"/>
        <v>236232196.00980929</v>
      </c>
      <c r="R175" s="61">
        <f t="shared" si="36"/>
        <v>157153846.39579612</v>
      </c>
      <c r="S175" s="61">
        <v>11432970</v>
      </c>
      <c r="T175" s="61">
        <v>1316492</v>
      </c>
      <c r="U175" s="61">
        <v>1316492</v>
      </c>
      <c r="V175" s="61">
        <v>0</v>
      </c>
      <c r="W175" s="61">
        <v>1316492</v>
      </c>
      <c r="X175" s="61">
        <v>105180</v>
      </c>
      <c r="Y175" s="61">
        <v>1211312</v>
      </c>
      <c r="Z175" s="61">
        <v>0</v>
      </c>
      <c r="AA175" s="61">
        <v>10116478</v>
      </c>
      <c r="AB175" s="61">
        <v>1934339</v>
      </c>
      <c r="AC175" s="61">
        <v>8182139</v>
      </c>
      <c r="AD175" s="61">
        <v>22531567</v>
      </c>
      <c r="AE175" s="61">
        <v>45597407</v>
      </c>
      <c r="AF175" s="61">
        <v>30608246</v>
      </c>
      <c r="AG175" s="61">
        <v>1337924</v>
      </c>
      <c r="AH175" s="61">
        <v>1325705</v>
      </c>
      <c r="AI175" s="61">
        <v>800000</v>
      </c>
      <c r="AJ175" s="61">
        <v>520706</v>
      </c>
      <c r="AK175" s="61">
        <v>4999</v>
      </c>
      <c r="AL175" s="61">
        <v>12219</v>
      </c>
      <c r="AM175" s="61">
        <v>0</v>
      </c>
      <c r="AN175" s="61">
        <v>0</v>
      </c>
      <c r="AO175" s="61"/>
      <c r="AP175" s="61">
        <v>0</v>
      </c>
      <c r="AQ175" s="61">
        <v>29270322</v>
      </c>
      <c r="AR175" s="61">
        <v>14989161</v>
      </c>
      <c r="AS175" s="61">
        <v>12173206</v>
      </c>
      <c r="AT175" s="61">
        <v>10060816</v>
      </c>
      <c r="AU175" s="61">
        <v>2112390</v>
      </c>
      <c r="AV175" s="61">
        <v>2815955</v>
      </c>
      <c r="AW175" s="65">
        <v>0.999</v>
      </c>
      <c r="AX175">
        <f t="shared" si="26"/>
        <v>99900000</v>
      </c>
      <c r="AY175" s="78">
        <f t="shared" si="37"/>
        <v>0.999</v>
      </c>
    </row>
    <row r="176" spans="1:51" x14ac:dyDescent="0.25">
      <c r="A176" s="62">
        <v>1994.01</v>
      </c>
      <c r="B176" s="56" t="s">
        <v>108</v>
      </c>
      <c r="C176" s="57">
        <v>1994.01</v>
      </c>
      <c r="D176" s="54" t="s">
        <v>112</v>
      </c>
      <c r="E176" s="54">
        <v>1000</v>
      </c>
      <c r="F176" s="63">
        <v>1</v>
      </c>
      <c r="G176" s="61">
        <v>11663836</v>
      </c>
      <c r="H176" s="61">
        <f t="shared" si="27"/>
        <v>11663836000</v>
      </c>
      <c r="I176" s="146">
        <f t="shared" si="28"/>
        <v>0.999</v>
      </c>
      <c r="J176" s="61">
        <f t="shared" si="29"/>
        <v>11675511511.511511</v>
      </c>
      <c r="K176" s="61">
        <f t="shared" si="30"/>
        <v>11320731000</v>
      </c>
      <c r="L176" s="61">
        <f t="shared" si="31"/>
        <v>22512154000</v>
      </c>
      <c r="M176" s="61">
        <f t="shared" si="32"/>
        <v>16037952000</v>
      </c>
      <c r="N176" s="86">
        <v>95.474900000000005</v>
      </c>
      <c r="O176" s="80">
        <f t="shared" si="33"/>
        <v>1.0463483072514346E-2</v>
      </c>
      <c r="P176" s="61">
        <f t="shared" si="34"/>
        <v>118572850.03702544</v>
      </c>
      <c r="Q176" s="61">
        <f t="shared" si="35"/>
        <v>235791333.63847461</v>
      </c>
      <c r="R176" s="61">
        <f t="shared" si="36"/>
        <v>167980820.0898875</v>
      </c>
      <c r="S176" s="61">
        <v>11320731</v>
      </c>
      <c r="T176" s="61">
        <v>1316635</v>
      </c>
      <c r="U176" s="61">
        <v>1316635</v>
      </c>
      <c r="V176" s="61">
        <v>0</v>
      </c>
      <c r="W176" s="61">
        <v>1316635</v>
      </c>
      <c r="X176" s="61">
        <v>105181</v>
      </c>
      <c r="Y176" s="61">
        <v>1211454</v>
      </c>
      <c r="Z176" s="61">
        <v>0</v>
      </c>
      <c r="AA176" s="61">
        <v>10004096</v>
      </c>
      <c r="AB176" s="61">
        <v>1818925</v>
      </c>
      <c r="AC176" s="61">
        <v>8185171</v>
      </c>
      <c r="AD176" s="61">
        <v>22512154</v>
      </c>
      <c r="AE176" s="61">
        <v>45496721</v>
      </c>
      <c r="AF176" s="61">
        <v>29458769</v>
      </c>
      <c r="AG176" s="61">
        <v>167684</v>
      </c>
      <c r="AH176" s="61">
        <v>148835</v>
      </c>
      <c r="AI176" s="61">
        <v>0</v>
      </c>
      <c r="AJ176" s="61">
        <v>148835</v>
      </c>
      <c r="AK176" s="61">
        <v>0</v>
      </c>
      <c r="AL176" s="61">
        <v>18849</v>
      </c>
      <c r="AM176" s="61">
        <v>0</v>
      </c>
      <c r="AN176" s="61">
        <v>221608</v>
      </c>
      <c r="AO176" s="61"/>
      <c r="AP176" s="61">
        <v>0</v>
      </c>
      <c r="AQ176" s="61">
        <v>29069477</v>
      </c>
      <c r="AR176" s="61">
        <v>16037952</v>
      </c>
      <c r="AS176" s="61">
        <v>11444809</v>
      </c>
      <c r="AT176" s="61">
        <v>9121582</v>
      </c>
      <c r="AU176" s="61">
        <v>2323227</v>
      </c>
      <c r="AV176" s="61">
        <v>4593143</v>
      </c>
      <c r="AW176" s="65">
        <v>0.999</v>
      </c>
      <c r="AX176">
        <f t="shared" si="26"/>
        <v>99900000</v>
      </c>
      <c r="AY176" s="78">
        <f t="shared" si="37"/>
        <v>0.999</v>
      </c>
    </row>
    <row r="177" spans="1:51" x14ac:dyDescent="0.25">
      <c r="A177" s="57"/>
      <c r="B177" s="56" t="s">
        <v>104</v>
      </c>
      <c r="C177" s="57">
        <v>1994.02</v>
      </c>
      <c r="D177" s="54" t="s">
        <v>112</v>
      </c>
      <c r="E177" s="54">
        <v>1000</v>
      </c>
      <c r="F177" s="63">
        <v>1</v>
      </c>
      <c r="G177" s="61">
        <v>11403217</v>
      </c>
      <c r="H177" s="61">
        <f t="shared" si="27"/>
        <v>11403217000</v>
      </c>
      <c r="I177" s="146">
        <f t="shared" si="28"/>
        <v>0.999</v>
      </c>
      <c r="J177" s="61">
        <f t="shared" si="29"/>
        <v>11414631631.631632</v>
      </c>
      <c r="K177" s="61">
        <f t="shared" si="30"/>
        <v>11636082000</v>
      </c>
      <c r="L177" s="61">
        <f t="shared" si="31"/>
        <v>22533616000</v>
      </c>
      <c r="M177" s="61">
        <f t="shared" si="32"/>
        <v>15994221000</v>
      </c>
      <c r="N177" s="86">
        <v>95.471500000000006</v>
      </c>
      <c r="O177" s="80">
        <f t="shared" si="33"/>
        <v>1.0463855705629427E-2</v>
      </c>
      <c r="P177" s="61">
        <f t="shared" si="34"/>
        <v>121880163.19006194</v>
      </c>
      <c r="Q177" s="61">
        <f t="shared" si="35"/>
        <v>236024530.88094351</v>
      </c>
      <c r="R177" s="61">
        <f t="shared" si="36"/>
        <v>167528749.41736537</v>
      </c>
      <c r="S177" s="61">
        <v>11636082</v>
      </c>
      <c r="T177" s="61">
        <v>1318259</v>
      </c>
      <c r="U177" s="61">
        <v>1318259</v>
      </c>
      <c r="V177" s="61">
        <v>0</v>
      </c>
      <c r="W177" s="61">
        <v>1318259</v>
      </c>
      <c r="X177" s="61">
        <v>105181</v>
      </c>
      <c r="Y177" s="61">
        <v>1213078</v>
      </c>
      <c r="Z177" s="61">
        <v>0</v>
      </c>
      <c r="AA177" s="61">
        <v>10317823</v>
      </c>
      <c r="AB177" s="61">
        <v>1910331</v>
      </c>
      <c r="AC177" s="61">
        <v>8407492</v>
      </c>
      <c r="AD177" s="61">
        <v>22533616</v>
      </c>
      <c r="AE177" s="61">
        <v>45572915</v>
      </c>
      <c r="AF177" s="61">
        <v>29578694</v>
      </c>
      <c r="AG177" s="61">
        <v>127119</v>
      </c>
      <c r="AH177" s="61">
        <v>109653</v>
      </c>
      <c r="AI177" s="61">
        <v>0</v>
      </c>
      <c r="AJ177" s="61">
        <v>109653</v>
      </c>
      <c r="AK177" s="61">
        <v>0</v>
      </c>
      <c r="AL177" s="61">
        <v>17466</v>
      </c>
      <c r="AM177" s="61">
        <v>0</v>
      </c>
      <c r="AN177" s="61">
        <v>167321</v>
      </c>
      <c r="AO177" s="61"/>
      <c r="AP177" s="61">
        <v>0</v>
      </c>
      <c r="AQ177" s="61">
        <v>29284254</v>
      </c>
      <c r="AR177" s="61">
        <v>15994221</v>
      </c>
      <c r="AS177" s="61">
        <v>11317445</v>
      </c>
      <c r="AT177" s="61">
        <v>8985303</v>
      </c>
      <c r="AU177" s="61">
        <v>2332142</v>
      </c>
      <c r="AV177" s="61">
        <v>4676776</v>
      </c>
      <c r="AW177" s="65">
        <v>0.999</v>
      </c>
      <c r="AX177">
        <f t="shared" si="26"/>
        <v>99900000</v>
      </c>
      <c r="AY177" s="78">
        <f t="shared" si="37"/>
        <v>0.999</v>
      </c>
    </row>
    <row r="178" spans="1:51" x14ac:dyDescent="0.25">
      <c r="A178" s="57"/>
      <c r="B178" s="56" t="s">
        <v>105</v>
      </c>
      <c r="C178" s="57">
        <v>1994.03</v>
      </c>
      <c r="D178" s="54" t="s">
        <v>112</v>
      </c>
      <c r="E178" s="54">
        <v>1000</v>
      </c>
      <c r="F178" s="63">
        <v>1</v>
      </c>
      <c r="G178" s="61">
        <v>10645853</v>
      </c>
      <c r="H178" s="61">
        <f t="shared" si="27"/>
        <v>10645853000</v>
      </c>
      <c r="I178" s="146">
        <f t="shared" si="28"/>
        <v>0.999</v>
      </c>
      <c r="J178" s="61">
        <f t="shared" si="29"/>
        <v>10656509509.50951</v>
      </c>
      <c r="K178" s="61">
        <f t="shared" si="30"/>
        <v>11650883000</v>
      </c>
      <c r="L178" s="61">
        <f t="shared" si="31"/>
        <v>22550934000</v>
      </c>
      <c r="M178" s="61">
        <f t="shared" si="32"/>
        <v>14632679000</v>
      </c>
      <c r="N178" s="86">
        <v>95.604600000000005</v>
      </c>
      <c r="O178" s="80">
        <f t="shared" si="33"/>
        <v>1.0449288004970471E-2</v>
      </c>
      <c r="P178" s="61">
        <f t="shared" si="34"/>
        <v>121865297.27649087</v>
      </c>
      <c r="Q178" s="61">
        <f t="shared" si="35"/>
        <v>235877081.22830909</v>
      </c>
      <c r="R178" s="61">
        <f t="shared" si="36"/>
        <v>153054131.28656989</v>
      </c>
      <c r="S178" s="61">
        <v>11650883</v>
      </c>
      <c r="T178" s="61">
        <v>1325814</v>
      </c>
      <c r="U178" s="61">
        <v>1325814</v>
      </c>
      <c r="V178" s="61">
        <v>0</v>
      </c>
      <c r="W178" s="61">
        <v>1325814</v>
      </c>
      <c r="X178" s="61">
        <v>111677</v>
      </c>
      <c r="Y178" s="61">
        <v>1214137</v>
      </c>
      <c r="Z178" s="61">
        <v>0</v>
      </c>
      <c r="AA178" s="61">
        <v>10325069</v>
      </c>
      <c r="AB178" s="61">
        <v>1914855</v>
      </c>
      <c r="AC178" s="61">
        <v>8410214</v>
      </c>
      <c r="AD178" s="61">
        <v>22550934</v>
      </c>
      <c r="AE178" s="61">
        <v>44847670</v>
      </c>
      <c r="AF178" s="61">
        <v>30214991</v>
      </c>
      <c r="AG178" s="61">
        <v>853709</v>
      </c>
      <c r="AH178" s="61">
        <v>837258</v>
      </c>
      <c r="AI178" s="61">
        <v>650000</v>
      </c>
      <c r="AJ178" s="61">
        <v>187258</v>
      </c>
      <c r="AK178" s="61">
        <v>0</v>
      </c>
      <c r="AL178" s="61">
        <v>16451</v>
      </c>
      <c r="AM178" s="61">
        <v>0</v>
      </c>
      <c r="AN178" s="61">
        <v>188310</v>
      </c>
      <c r="AO178" s="61"/>
      <c r="AP178" s="61">
        <v>0</v>
      </c>
      <c r="AQ178" s="61">
        <v>29172972</v>
      </c>
      <c r="AR178" s="61">
        <v>14632679</v>
      </c>
      <c r="AS178" s="61">
        <v>11204716</v>
      </c>
      <c r="AT178" s="61">
        <v>9110198</v>
      </c>
      <c r="AU178" s="61">
        <v>2094518</v>
      </c>
      <c r="AV178" s="61">
        <v>3427963</v>
      </c>
      <c r="AW178" s="65">
        <v>0.999</v>
      </c>
      <c r="AX178">
        <f t="shared" si="26"/>
        <v>99900000</v>
      </c>
      <c r="AY178" s="78">
        <f t="shared" si="37"/>
        <v>0.999</v>
      </c>
    </row>
    <row r="179" spans="1:51" x14ac:dyDescent="0.25">
      <c r="A179" s="57"/>
      <c r="B179" s="56" t="s">
        <v>106</v>
      </c>
      <c r="C179" s="57">
        <v>1994.04</v>
      </c>
      <c r="D179" s="54" t="s">
        <v>112</v>
      </c>
      <c r="E179" s="54">
        <v>1000</v>
      </c>
      <c r="F179" s="63">
        <v>1</v>
      </c>
      <c r="G179" s="61">
        <v>10183572</v>
      </c>
      <c r="H179" s="61">
        <f t="shared" si="27"/>
        <v>10183572000</v>
      </c>
      <c r="I179" s="146">
        <f t="shared" si="28"/>
        <v>0.999</v>
      </c>
      <c r="J179" s="61">
        <f t="shared" si="29"/>
        <v>10193765765.765766</v>
      </c>
      <c r="K179" s="61">
        <f t="shared" si="30"/>
        <v>11732834000</v>
      </c>
      <c r="L179" s="61">
        <f t="shared" si="31"/>
        <v>22489859000</v>
      </c>
      <c r="M179" s="61">
        <f t="shared" si="32"/>
        <v>15163638000</v>
      </c>
      <c r="N179" s="86">
        <v>95.837299999999999</v>
      </c>
      <c r="O179" s="80">
        <f t="shared" si="33"/>
        <v>1.042391636659213E-2</v>
      </c>
      <c r="P179" s="61">
        <f t="shared" si="34"/>
        <v>122424504.86397259</v>
      </c>
      <c r="Q179" s="61">
        <f t="shared" si="35"/>
        <v>234667076.38883817</v>
      </c>
      <c r="R179" s="61">
        <f t="shared" si="36"/>
        <v>158222717.0423207</v>
      </c>
      <c r="S179" s="61">
        <v>11732834</v>
      </c>
      <c r="T179" s="61">
        <v>1374961</v>
      </c>
      <c r="U179" s="61">
        <v>1374961</v>
      </c>
      <c r="V179" s="61">
        <v>0</v>
      </c>
      <c r="W179" s="61">
        <v>1374961</v>
      </c>
      <c r="X179" s="61">
        <v>128138</v>
      </c>
      <c r="Y179" s="61">
        <v>1246823</v>
      </c>
      <c r="Z179" s="61">
        <v>0</v>
      </c>
      <c r="AA179" s="61">
        <v>10357873</v>
      </c>
      <c r="AB179" s="61">
        <v>1694016</v>
      </c>
      <c r="AC179" s="61">
        <v>8663857</v>
      </c>
      <c r="AD179" s="61">
        <v>22489859</v>
      </c>
      <c r="AE179" s="61">
        <v>44406265</v>
      </c>
      <c r="AF179" s="61">
        <v>29242627</v>
      </c>
      <c r="AG179" s="61">
        <v>158977</v>
      </c>
      <c r="AH179" s="61">
        <v>142100</v>
      </c>
      <c r="AI179" s="61">
        <v>0</v>
      </c>
      <c r="AJ179" s="61">
        <v>142100</v>
      </c>
      <c r="AK179" s="61">
        <v>0</v>
      </c>
      <c r="AL179" s="61">
        <v>16877</v>
      </c>
      <c r="AM179" s="61">
        <v>0</v>
      </c>
      <c r="AN179" s="61">
        <v>233657</v>
      </c>
      <c r="AO179" s="61"/>
      <c r="AP179" s="61">
        <v>0</v>
      </c>
      <c r="AQ179" s="61">
        <v>28849993</v>
      </c>
      <c r="AR179" s="61">
        <v>15163638</v>
      </c>
      <c r="AS179" s="61">
        <v>10978541</v>
      </c>
      <c r="AT179" s="61">
        <v>8961116</v>
      </c>
      <c r="AU179" s="61">
        <v>2017425</v>
      </c>
      <c r="AV179" s="61">
        <v>4185097</v>
      </c>
      <c r="AW179" s="65">
        <v>0.999</v>
      </c>
      <c r="AX179">
        <f t="shared" si="26"/>
        <v>99900000</v>
      </c>
      <c r="AY179" s="78">
        <f t="shared" si="37"/>
        <v>0.999</v>
      </c>
    </row>
    <row r="180" spans="1:51" x14ac:dyDescent="0.25">
      <c r="A180" s="57"/>
      <c r="B180" s="56" t="s">
        <v>107</v>
      </c>
      <c r="C180" s="57">
        <v>1994.05</v>
      </c>
      <c r="D180" s="54" t="s">
        <v>112</v>
      </c>
      <c r="E180" s="54">
        <v>1000</v>
      </c>
      <c r="F180" s="63">
        <v>1</v>
      </c>
      <c r="G180" s="61">
        <v>10584212</v>
      </c>
      <c r="H180" s="61">
        <f t="shared" si="27"/>
        <v>10584212000</v>
      </c>
      <c r="I180" s="146">
        <f t="shared" si="28"/>
        <v>0.999</v>
      </c>
      <c r="J180" s="61">
        <f t="shared" si="29"/>
        <v>10594806806.806807</v>
      </c>
      <c r="K180" s="61">
        <f t="shared" si="30"/>
        <v>11769857000</v>
      </c>
      <c r="L180" s="61">
        <f t="shared" si="31"/>
        <v>22510189000</v>
      </c>
      <c r="M180" s="61">
        <f t="shared" si="32"/>
        <v>15546232000</v>
      </c>
      <c r="N180" s="86">
        <v>96.169499999999999</v>
      </c>
      <c r="O180" s="80">
        <f t="shared" si="33"/>
        <v>1.0387908848439474E-2</v>
      </c>
      <c r="P180" s="61">
        <f t="shared" si="34"/>
        <v>122386588.26343071</v>
      </c>
      <c r="Q180" s="61">
        <f t="shared" si="35"/>
        <v>234067859.35249743</v>
      </c>
      <c r="R180" s="61">
        <f t="shared" si="36"/>
        <v>161654495.44814104</v>
      </c>
      <c r="S180" s="61">
        <v>11769857</v>
      </c>
      <c r="T180" s="61">
        <v>1435863</v>
      </c>
      <c r="U180" s="61">
        <v>1435863</v>
      </c>
      <c r="V180" s="61">
        <v>0</v>
      </c>
      <c r="W180" s="61">
        <v>1435863</v>
      </c>
      <c r="X180" s="61">
        <v>187988</v>
      </c>
      <c r="Y180" s="61">
        <v>1247875</v>
      </c>
      <c r="Z180" s="61">
        <v>0</v>
      </c>
      <c r="AA180" s="61">
        <v>10333994</v>
      </c>
      <c r="AB180" s="61">
        <v>1706074</v>
      </c>
      <c r="AC180" s="61">
        <v>8627920</v>
      </c>
      <c r="AD180" s="61">
        <v>22510189</v>
      </c>
      <c r="AE180" s="61">
        <v>44864258</v>
      </c>
      <c r="AF180" s="61">
        <v>29318026</v>
      </c>
      <c r="AG180" s="61">
        <v>110223</v>
      </c>
      <c r="AH180" s="61">
        <v>90614</v>
      </c>
      <c r="AI180" s="61">
        <v>0</v>
      </c>
      <c r="AJ180" s="61">
        <v>90614</v>
      </c>
      <c r="AK180" s="61">
        <v>0</v>
      </c>
      <c r="AL180" s="61">
        <v>19609</v>
      </c>
      <c r="AM180" s="61">
        <v>0</v>
      </c>
      <c r="AN180" s="61">
        <v>240329</v>
      </c>
      <c r="AO180" s="61"/>
      <c r="AP180" s="61">
        <v>0</v>
      </c>
      <c r="AQ180" s="61">
        <v>28967474</v>
      </c>
      <c r="AR180" s="61">
        <v>15546232</v>
      </c>
      <c r="AS180" s="61">
        <v>10935696</v>
      </c>
      <c r="AT180" s="61">
        <v>8676274</v>
      </c>
      <c r="AU180" s="61">
        <v>2259422</v>
      </c>
      <c r="AV180" s="61">
        <v>4610536</v>
      </c>
      <c r="AW180" s="65">
        <v>0.999</v>
      </c>
      <c r="AX180">
        <f t="shared" si="26"/>
        <v>99900000</v>
      </c>
      <c r="AY180" s="78">
        <f t="shared" si="37"/>
        <v>0.999</v>
      </c>
    </row>
    <row r="181" spans="1:51" x14ac:dyDescent="0.25">
      <c r="A181" s="57"/>
      <c r="B181" s="56" t="s">
        <v>96</v>
      </c>
      <c r="C181" s="57">
        <v>1994.06</v>
      </c>
      <c r="D181" s="54" t="s">
        <v>112</v>
      </c>
      <c r="E181" s="54">
        <v>1000</v>
      </c>
      <c r="F181" s="63">
        <v>1</v>
      </c>
      <c r="G181" s="61">
        <v>10642117</v>
      </c>
      <c r="H181" s="61">
        <f t="shared" si="27"/>
        <v>10642117000</v>
      </c>
      <c r="I181" s="146">
        <f t="shared" si="28"/>
        <v>0.999</v>
      </c>
      <c r="J181" s="61">
        <f t="shared" si="29"/>
        <v>10652769769.76977</v>
      </c>
      <c r="K181" s="61">
        <f t="shared" si="30"/>
        <v>11831394000</v>
      </c>
      <c r="L181" s="61">
        <f t="shared" si="31"/>
        <v>22624621000</v>
      </c>
      <c r="M181" s="61">
        <f t="shared" si="32"/>
        <v>14219375000</v>
      </c>
      <c r="N181" s="86">
        <v>96.541700000000006</v>
      </c>
      <c r="O181" s="80">
        <f t="shared" si="33"/>
        <v>1.0347860043898129E-2</v>
      </c>
      <c r="P181" s="61">
        <f t="shared" si="34"/>
        <v>122552161.39761366</v>
      </c>
      <c r="Q181" s="61">
        <f t="shared" si="35"/>
        <v>234350762.41665518</v>
      </c>
      <c r="R181" s="61">
        <f t="shared" si="36"/>
        <v>147287389.80150545</v>
      </c>
      <c r="S181" s="61">
        <v>11831394</v>
      </c>
      <c r="T181" s="61">
        <v>1363703</v>
      </c>
      <c r="U181" s="61">
        <v>1363703</v>
      </c>
      <c r="V181" s="61">
        <v>0</v>
      </c>
      <c r="W181" s="61">
        <v>1363703</v>
      </c>
      <c r="X181" s="61">
        <v>114839</v>
      </c>
      <c r="Y181" s="61">
        <v>1248864</v>
      </c>
      <c r="Z181" s="61">
        <v>0</v>
      </c>
      <c r="AA181" s="61">
        <v>10467691</v>
      </c>
      <c r="AB181" s="61">
        <v>1801305</v>
      </c>
      <c r="AC181" s="61">
        <v>8666386</v>
      </c>
      <c r="AD181" s="61">
        <v>22624621</v>
      </c>
      <c r="AE181" s="61">
        <v>45098132</v>
      </c>
      <c r="AF181" s="61">
        <v>30878757</v>
      </c>
      <c r="AG181" s="61">
        <v>1542762</v>
      </c>
      <c r="AH181" s="61">
        <v>1515218</v>
      </c>
      <c r="AI181" s="61">
        <v>1350000</v>
      </c>
      <c r="AJ181" s="61">
        <v>165218</v>
      </c>
      <c r="AK181" s="61">
        <v>0</v>
      </c>
      <c r="AL181" s="61">
        <v>27544</v>
      </c>
      <c r="AM181" s="61">
        <v>0</v>
      </c>
      <c r="AN181" s="61">
        <v>237693</v>
      </c>
      <c r="AO181" s="61"/>
      <c r="AP181" s="61">
        <v>0</v>
      </c>
      <c r="AQ181" s="61">
        <v>29098302</v>
      </c>
      <c r="AR181" s="61">
        <v>14219375</v>
      </c>
      <c r="AS181" s="61">
        <v>11395512</v>
      </c>
      <c r="AT181" s="61">
        <v>9079197</v>
      </c>
      <c r="AU181" s="61">
        <v>2316315</v>
      </c>
      <c r="AV181" s="61">
        <v>2823863</v>
      </c>
      <c r="AW181" s="65">
        <v>0.999</v>
      </c>
      <c r="AX181">
        <f t="shared" si="26"/>
        <v>99900000</v>
      </c>
      <c r="AY181" s="78">
        <f t="shared" si="37"/>
        <v>0.999</v>
      </c>
    </row>
    <row r="182" spans="1:51" x14ac:dyDescent="0.25">
      <c r="A182" s="57"/>
      <c r="B182" s="56" t="s">
        <v>97</v>
      </c>
      <c r="C182" s="57">
        <v>1994.07</v>
      </c>
      <c r="D182" s="54" t="s">
        <v>112</v>
      </c>
      <c r="E182" s="54">
        <v>1000</v>
      </c>
      <c r="F182" s="63">
        <v>1</v>
      </c>
      <c r="G182" s="61">
        <v>11025349</v>
      </c>
      <c r="H182" s="61">
        <f t="shared" si="27"/>
        <v>11025349000</v>
      </c>
      <c r="I182" s="146">
        <f t="shared" si="28"/>
        <v>0.999</v>
      </c>
      <c r="J182" s="61">
        <f t="shared" si="29"/>
        <v>11036385385.385386</v>
      </c>
      <c r="K182" s="61">
        <f t="shared" si="30"/>
        <v>12892132000</v>
      </c>
      <c r="L182" s="61">
        <f t="shared" si="31"/>
        <v>22273962000</v>
      </c>
      <c r="M182" s="61">
        <f t="shared" si="32"/>
        <v>16626762000</v>
      </c>
      <c r="N182" s="86">
        <v>97.433000000000007</v>
      </c>
      <c r="O182" s="80">
        <f t="shared" si="33"/>
        <v>1.0253199634620713E-2</v>
      </c>
      <c r="P182" s="61">
        <f t="shared" si="34"/>
        <v>132317921.03291492</v>
      </c>
      <c r="Q182" s="61">
        <f t="shared" si="35"/>
        <v>228607987.02698264</v>
      </c>
      <c r="R182" s="61">
        <f t="shared" si="36"/>
        <v>170648158.2215471</v>
      </c>
      <c r="S182" s="61">
        <v>12892132</v>
      </c>
      <c r="T182" s="61">
        <v>1413886</v>
      </c>
      <c r="U182" s="61">
        <v>1413886</v>
      </c>
      <c r="V182" s="61">
        <v>0</v>
      </c>
      <c r="W182" s="61">
        <v>1413886</v>
      </c>
      <c r="X182" s="61">
        <v>164061</v>
      </c>
      <c r="Y182" s="61">
        <v>1249825</v>
      </c>
      <c r="Z182" s="61">
        <v>0</v>
      </c>
      <c r="AA182" s="61">
        <v>11478246</v>
      </c>
      <c r="AB182" s="61">
        <v>2593108</v>
      </c>
      <c r="AC182" s="61">
        <v>8885138</v>
      </c>
      <c r="AD182" s="61">
        <v>22273962</v>
      </c>
      <c r="AE182" s="61">
        <v>46191443</v>
      </c>
      <c r="AF182" s="61">
        <v>29564681</v>
      </c>
      <c r="AG182" s="61">
        <v>473540</v>
      </c>
      <c r="AH182" s="61">
        <v>453221</v>
      </c>
      <c r="AI182" s="61">
        <v>0</v>
      </c>
      <c r="AJ182" s="61">
        <v>453221</v>
      </c>
      <c r="AK182" s="61">
        <v>0</v>
      </c>
      <c r="AL182" s="61">
        <v>20319</v>
      </c>
      <c r="AM182" s="61">
        <v>0</v>
      </c>
      <c r="AN182" s="61">
        <v>231619</v>
      </c>
      <c r="AO182" s="61"/>
      <c r="AP182" s="61">
        <v>0</v>
      </c>
      <c r="AQ182" s="61">
        <v>28859522</v>
      </c>
      <c r="AR182" s="61">
        <v>16626762</v>
      </c>
      <c r="AS182" s="61">
        <v>11871849</v>
      </c>
      <c r="AT182" s="61">
        <v>9765337</v>
      </c>
      <c r="AU182" s="61">
        <v>2106512</v>
      </c>
      <c r="AV182" s="61">
        <v>4754913</v>
      </c>
      <c r="AW182" s="65">
        <v>0.999</v>
      </c>
      <c r="AX182">
        <f t="shared" si="26"/>
        <v>99900000</v>
      </c>
      <c r="AY182" s="78">
        <f t="shared" si="37"/>
        <v>0.999</v>
      </c>
    </row>
    <row r="183" spans="1:51" x14ac:dyDescent="0.25">
      <c r="A183" s="57"/>
      <c r="B183" s="56" t="s">
        <v>98</v>
      </c>
      <c r="C183" s="57">
        <v>1994.08</v>
      </c>
      <c r="D183" s="54" t="s">
        <v>112</v>
      </c>
      <c r="E183" s="54">
        <v>1000</v>
      </c>
      <c r="F183" s="63">
        <v>1</v>
      </c>
      <c r="G183" s="61">
        <v>10843738</v>
      </c>
      <c r="H183" s="61">
        <f t="shared" si="27"/>
        <v>10843738000</v>
      </c>
      <c r="I183" s="146">
        <f t="shared" si="28"/>
        <v>0.999</v>
      </c>
      <c r="J183" s="61">
        <f t="shared" si="29"/>
        <v>10854592592.592592</v>
      </c>
      <c r="K183" s="61">
        <f t="shared" si="30"/>
        <v>11944135000</v>
      </c>
      <c r="L183" s="61">
        <f t="shared" si="31"/>
        <v>22301866000</v>
      </c>
      <c r="M183" s="61">
        <f t="shared" si="32"/>
        <v>15556366000</v>
      </c>
      <c r="N183" s="86">
        <v>97.634</v>
      </c>
      <c r="O183" s="80">
        <f t="shared" si="33"/>
        <v>1.0232091279677162E-2</v>
      </c>
      <c r="P183" s="61">
        <f t="shared" si="34"/>
        <v>122335815.39217895</v>
      </c>
      <c r="Q183" s="61">
        <f t="shared" si="35"/>
        <v>228423151.77089947</v>
      </c>
      <c r="R183" s="61">
        <f t="shared" si="36"/>
        <v>159333490.38244873</v>
      </c>
      <c r="S183" s="61">
        <v>11944135</v>
      </c>
      <c r="T183" s="61">
        <v>1389706</v>
      </c>
      <c r="U183" s="61">
        <v>1389706</v>
      </c>
      <c r="V183" s="61">
        <v>0</v>
      </c>
      <c r="W183" s="61">
        <v>1389706</v>
      </c>
      <c r="X183" s="61">
        <v>138788</v>
      </c>
      <c r="Y183" s="61">
        <v>1250918</v>
      </c>
      <c r="Z183" s="61">
        <v>0</v>
      </c>
      <c r="AA183" s="61">
        <v>10554429</v>
      </c>
      <c r="AB183" s="61">
        <v>1702393</v>
      </c>
      <c r="AC183" s="61">
        <v>8852036</v>
      </c>
      <c r="AD183" s="61">
        <v>22301866</v>
      </c>
      <c r="AE183" s="61">
        <v>45089739</v>
      </c>
      <c r="AF183" s="61">
        <v>29533373</v>
      </c>
      <c r="AG183" s="61">
        <v>340382</v>
      </c>
      <c r="AH183" s="61">
        <v>326545</v>
      </c>
      <c r="AI183" s="61">
        <v>48810</v>
      </c>
      <c r="AJ183" s="61">
        <v>277735</v>
      </c>
      <c r="AK183" s="61">
        <v>0</v>
      </c>
      <c r="AL183" s="61">
        <v>13837</v>
      </c>
      <c r="AM183" s="61">
        <v>0</v>
      </c>
      <c r="AN183" s="61">
        <v>202881</v>
      </c>
      <c r="AO183" s="61"/>
      <c r="AP183" s="61">
        <v>0</v>
      </c>
      <c r="AQ183" s="61">
        <v>28990110</v>
      </c>
      <c r="AR183" s="61">
        <v>15556366</v>
      </c>
      <c r="AS183" s="61">
        <v>11344348</v>
      </c>
      <c r="AT183" s="61">
        <v>9218479</v>
      </c>
      <c r="AU183" s="61">
        <v>2125869</v>
      </c>
      <c r="AV183" s="61">
        <v>4212018</v>
      </c>
      <c r="AW183" s="65">
        <v>0.999</v>
      </c>
      <c r="AX183">
        <f t="shared" si="26"/>
        <v>99900000</v>
      </c>
      <c r="AY183" s="78">
        <f t="shared" si="37"/>
        <v>0.999</v>
      </c>
    </row>
    <row r="184" spans="1:51" x14ac:dyDescent="0.25">
      <c r="A184" s="57"/>
      <c r="B184" s="56" t="s">
        <v>99</v>
      </c>
      <c r="C184" s="57">
        <v>1994.09</v>
      </c>
      <c r="D184" s="54" t="s">
        <v>112</v>
      </c>
      <c r="E184" s="54">
        <v>1000</v>
      </c>
      <c r="F184" s="63">
        <v>1</v>
      </c>
      <c r="G184" s="61">
        <v>10188675</v>
      </c>
      <c r="H184" s="61">
        <f t="shared" si="27"/>
        <v>10188675000</v>
      </c>
      <c r="I184" s="146">
        <f t="shared" si="28"/>
        <v>0.999</v>
      </c>
      <c r="J184" s="61">
        <f t="shared" si="29"/>
        <v>10198873873.873875</v>
      </c>
      <c r="K184" s="61">
        <f t="shared" si="30"/>
        <v>12550027000</v>
      </c>
      <c r="L184" s="61">
        <f t="shared" si="31"/>
        <v>22351277000</v>
      </c>
      <c r="M184" s="61">
        <f t="shared" si="32"/>
        <v>14181015000</v>
      </c>
      <c r="N184" s="86">
        <v>98.302199999999999</v>
      </c>
      <c r="O184" s="80">
        <f t="shared" si="33"/>
        <v>1.0162539597282666E-2</v>
      </c>
      <c r="P184" s="61">
        <f t="shared" si="34"/>
        <v>127667814.1486152</v>
      </c>
      <c r="Q184" s="61">
        <f t="shared" si="35"/>
        <v>227373110.6730063</v>
      </c>
      <c r="R184" s="61">
        <f t="shared" si="36"/>
        <v>144259385.85301244</v>
      </c>
      <c r="S184" s="61">
        <v>12550027</v>
      </c>
      <c r="T184" s="61">
        <v>1591185</v>
      </c>
      <c r="U184" s="61">
        <v>1591185</v>
      </c>
      <c r="V184" s="61">
        <v>0</v>
      </c>
      <c r="W184" s="61">
        <v>1591185</v>
      </c>
      <c r="X184" s="61">
        <v>130128</v>
      </c>
      <c r="Y184" s="61">
        <v>1461057</v>
      </c>
      <c r="Z184" s="61">
        <v>0</v>
      </c>
      <c r="AA184" s="61">
        <v>10958842</v>
      </c>
      <c r="AB184" s="61">
        <v>1892786</v>
      </c>
      <c r="AC184" s="61">
        <v>9066056</v>
      </c>
      <c r="AD184" s="61">
        <v>22351277</v>
      </c>
      <c r="AE184" s="61">
        <v>45089979</v>
      </c>
      <c r="AF184" s="61">
        <v>30908964</v>
      </c>
      <c r="AG184" s="61">
        <v>1539600</v>
      </c>
      <c r="AH184" s="61">
        <v>1525152</v>
      </c>
      <c r="AI184" s="61">
        <v>1177658</v>
      </c>
      <c r="AJ184" s="61">
        <v>347494</v>
      </c>
      <c r="AK184" s="61">
        <v>0</v>
      </c>
      <c r="AL184" s="61">
        <v>14448</v>
      </c>
      <c r="AM184" s="61">
        <v>0</v>
      </c>
      <c r="AN184" s="61">
        <v>205236</v>
      </c>
      <c r="AO184" s="61"/>
      <c r="AP184" s="61">
        <v>0</v>
      </c>
      <c r="AQ184" s="61">
        <v>29164128</v>
      </c>
      <c r="AR184" s="61">
        <v>14181015</v>
      </c>
      <c r="AS184" s="61">
        <v>11380683</v>
      </c>
      <c r="AT184" s="61">
        <v>9397215</v>
      </c>
      <c r="AU184" s="61">
        <v>1983468</v>
      </c>
      <c r="AV184" s="61">
        <v>2800332</v>
      </c>
      <c r="AW184" s="65">
        <v>0.999</v>
      </c>
      <c r="AX184">
        <f t="shared" si="26"/>
        <v>99900000</v>
      </c>
      <c r="AY184" s="78">
        <f t="shared" si="37"/>
        <v>0.999</v>
      </c>
    </row>
    <row r="185" spans="1:51" x14ac:dyDescent="0.25">
      <c r="A185" s="57"/>
      <c r="B185" s="56" t="s">
        <v>100</v>
      </c>
      <c r="C185" s="57">
        <v>1994.1</v>
      </c>
      <c r="D185" s="54" t="s">
        <v>112</v>
      </c>
      <c r="E185" s="54">
        <v>1000</v>
      </c>
      <c r="F185" s="63">
        <v>1</v>
      </c>
      <c r="G185" s="61">
        <v>10024257</v>
      </c>
      <c r="H185" s="61">
        <f t="shared" si="27"/>
        <v>10024257000</v>
      </c>
      <c r="I185" s="146">
        <f t="shared" si="28"/>
        <v>0.999</v>
      </c>
      <c r="J185" s="61">
        <f t="shared" si="29"/>
        <v>10034291291.291292</v>
      </c>
      <c r="K185" s="61">
        <f t="shared" si="30"/>
        <v>12615855000</v>
      </c>
      <c r="L185" s="61">
        <f t="shared" si="31"/>
        <v>22334557000</v>
      </c>
      <c r="M185" s="61">
        <f t="shared" si="32"/>
        <v>15253793000</v>
      </c>
      <c r="N185" s="86">
        <v>98.617199999999997</v>
      </c>
      <c r="O185" s="80">
        <f t="shared" si="33"/>
        <v>1.0130078728659909E-2</v>
      </c>
      <c r="P185" s="61">
        <f t="shared" si="34"/>
        <v>127927531.91126904</v>
      </c>
      <c r="Q185" s="61">
        <f t="shared" si="35"/>
        <v>226477298.07782009</v>
      </c>
      <c r="R185" s="61">
        <f t="shared" si="36"/>
        <v>154676800.80148292</v>
      </c>
      <c r="S185" s="61">
        <v>12615855</v>
      </c>
      <c r="T185" s="61">
        <v>1606652</v>
      </c>
      <c r="U185" s="61">
        <v>1606652</v>
      </c>
      <c r="V185" s="61">
        <v>0</v>
      </c>
      <c r="W185" s="61">
        <v>1606652</v>
      </c>
      <c r="X185" s="61">
        <v>143676</v>
      </c>
      <c r="Y185" s="61">
        <v>1462976</v>
      </c>
      <c r="Z185" s="61">
        <v>0</v>
      </c>
      <c r="AA185" s="61">
        <v>11009203</v>
      </c>
      <c r="AB185" s="61">
        <v>1906053</v>
      </c>
      <c r="AC185" s="61">
        <v>9103150</v>
      </c>
      <c r="AD185" s="61">
        <v>22334557</v>
      </c>
      <c r="AE185" s="61">
        <v>44974669</v>
      </c>
      <c r="AF185" s="61">
        <v>29720876</v>
      </c>
      <c r="AG185" s="61">
        <v>362069</v>
      </c>
      <c r="AH185" s="61">
        <v>346272</v>
      </c>
      <c r="AI185" s="61">
        <v>0</v>
      </c>
      <c r="AJ185" s="61">
        <v>346272</v>
      </c>
      <c r="AK185" s="61">
        <v>0</v>
      </c>
      <c r="AL185" s="61">
        <v>15797</v>
      </c>
      <c r="AM185" s="61">
        <v>0</v>
      </c>
      <c r="AN185" s="61">
        <v>204531</v>
      </c>
      <c r="AO185" s="61"/>
      <c r="AP185" s="61">
        <v>0</v>
      </c>
      <c r="AQ185" s="61">
        <v>29154276</v>
      </c>
      <c r="AR185" s="61">
        <v>15253793</v>
      </c>
      <c r="AS185" s="61">
        <v>11429700</v>
      </c>
      <c r="AT185" s="61">
        <v>9243758</v>
      </c>
      <c r="AU185" s="61">
        <v>2185942</v>
      </c>
      <c r="AV185" s="61">
        <v>3824093</v>
      </c>
      <c r="AW185" s="65">
        <v>0.999</v>
      </c>
      <c r="AX185">
        <f t="shared" si="26"/>
        <v>99900000</v>
      </c>
      <c r="AY185" s="78">
        <f t="shared" si="37"/>
        <v>0.999</v>
      </c>
    </row>
    <row r="186" spans="1:51" x14ac:dyDescent="0.25">
      <c r="A186" s="57"/>
      <c r="B186" s="56" t="s">
        <v>101</v>
      </c>
      <c r="C186" s="57">
        <v>1994.11</v>
      </c>
      <c r="D186" s="54" t="s">
        <v>112</v>
      </c>
      <c r="E186" s="54">
        <v>1000</v>
      </c>
      <c r="F186" s="63">
        <v>1</v>
      </c>
      <c r="G186" s="61">
        <v>10077067</v>
      </c>
      <c r="H186" s="61">
        <f t="shared" si="27"/>
        <v>10077067000</v>
      </c>
      <c r="I186" s="146">
        <f t="shared" si="28"/>
        <v>0.999</v>
      </c>
      <c r="J186" s="61">
        <f t="shared" si="29"/>
        <v>10087154154.154154</v>
      </c>
      <c r="K186" s="61">
        <f t="shared" si="30"/>
        <v>12627846000</v>
      </c>
      <c r="L186" s="61">
        <f t="shared" si="31"/>
        <v>22347232000</v>
      </c>
      <c r="M186" s="61">
        <f t="shared" si="32"/>
        <v>14962242000</v>
      </c>
      <c r="N186" s="86">
        <v>98.840199999999996</v>
      </c>
      <c r="O186" s="80">
        <f t="shared" si="33"/>
        <v>1.0107223579070054E-2</v>
      </c>
      <c r="P186" s="61">
        <f t="shared" si="34"/>
        <v>127760223.06713261</v>
      </c>
      <c r="Q186" s="61">
        <f t="shared" si="35"/>
        <v>226094564.76211098</v>
      </c>
      <c r="R186" s="61">
        <f t="shared" si="36"/>
        <v>151378103.24139369</v>
      </c>
      <c r="S186" s="61">
        <v>12627846</v>
      </c>
      <c r="T186" s="61">
        <v>1631096</v>
      </c>
      <c r="U186" s="61">
        <v>1631096</v>
      </c>
      <c r="V186" s="61">
        <v>0</v>
      </c>
      <c r="W186" s="61">
        <v>1631096</v>
      </c>
      <c r="X186" s="61">
        <v>153836</v>
      </c>
      <c r="Y186" s="61">
        <v>1477260</v>
      </c>
      <c r="Z186" s="61">
        <v>0</v>
      </c>
      <c r="AA186" s="61">
        <v>10996750</v>
      </c>
      <c r="AB186" s="61">
        <v>2050738</v>
      </c>
      <c r="AC186" s="61">
        <v>8946012</v>
      </c>
      <c r="AD186" s="61">
        <v>22347232</v>
      </c>
      <c r="AE186" s="61">
        <v>45052145</v>
      </c>
      <c r="AF186" s="61">
        <v>30089903</v>
      </c>
      <c r="AG186" s="61">
        <v>503435</v>
      </c>
      <c r="AH186" s="61">
        <v>488493</v>
      </c>
      <c r="AI186" s="61">
        <v>142422</v>
      </c>
      <c r="AJ186" s="61">
        <v>346071</v>
      </c>
      <c r="AK186" s="61">
        <v>0</v>
      </c>
      <c r="AL186" s="61">
        <v>14942</v>
      </c>
      <c r="AM186" s="61">
        <v>0</v>
      </c>
      <c r="AN186" s="61">
        <v>222976</v>
      </c>
      <c r="AO186" s="64"/>
      <c r="AP186" s="61">
        <v>0</v>
      </c>
      <c r="AQ186" s="61">
        <v>29363492</v>
      </c>
      <c r="AR186" s="61">
        <v>14962242</v>
      </c>
      <c r="AS186" s="61">
        <v>11274439</v>
      </c>
      <c r="AT186" s="61">
        <v>9123150</v>
      </c>
      <c r="AU186" s="61">
        <v>2151289</v>
      </c>
      <c r="AV186" s="61">
        <v>3687803</v>
      </c>
      <c r="AW186" s="65">
        <v>0.999</v>
      </c>
      <c r="AX186">
        <f t="shared" si="26"/>
        <v>99900000</v>
      </c>
      <c r="AY186" s="78">
        <f t="shared" si="37"/>
        <v>0.999</v>
      </c>
    </row>
    <row r="187" spans="1:51" x14ac:dyDescent="0.25">
      <c r="A187" s="57"/>
      <c r="B187" s="56" t="s">
        <v>102</v>
      </c>
      <c r="C187" s="57">
        <v>1994.12</v>
      </c>
      <c r="D187" s="54" t="s">
        <v>112</v>
      </c>
      <c r="E187" s="54">
        <v>1000</v>
      </c>
      <c r="F187" s="63">
        <v>1</v>
      </c>
      <c r="G187" s="61">
        <v>11930335</v>
      </c>
      <c r="H187" s="61">
        <f t="shared" si="27"/>
        <v>11930335000</v>
      </c>
      <c r="I187" s="146">
        <f t="shared" si="28"/>
        <v>0.999</v>
      </c>
      <c r="J187" s="61">
        <f t="shared" si="29"/>
        <v>11942277277.277277</v>
      </c>
      <c r="K187" s="61">
        <f t="shared" si="30"/>
        <v>8360594000</v>
      </c>
      <c r="L187" s="61">
        <f t="shared" si="31"/>
        <v>22466880000</v>
      </c>
      <c r="M187" s="61">
        <f t="shared" si="32"/>
        <v>16069123000</v>
      </c>
      <c r="N187" s="86">
        <v>99.055099999999996</v>
      </c>
      <c r="O187" s="80">
        <f t="shared" si="33"/>
        <v>1.0085295961540598E-2</v>
      </c>
      <c r="P187" s="61">
        <f t="shared" si="34"/>
        <v>84403468.372653201</v>
      </c>
      <c r="Q187" s="61">
        <f t="shared" si="35"/>
        <v>226811946.07849571</v>
      </c>
      <c r="R187" s="61">
        <f t="shared" si="36"/>
        <v>162224085.38278192</v>
      </c>
      <c r="S187" s="61">
        <v>8360594</v>
      </c>
      <c r="T187" s="61">
        <v>1695629</v>
      </c>
      <c r="U187" s="61">
        <v>1695629</v>
      </c>
      <c r="V187" s="61">
        <v>0</v>
      </c>
      <c r="W187" s="61">
        <v>1695629</v>
      </c>
      <c r="X187" s="61">
        <v>0</v>
      </c>
      <c r="Y187" s="61">
        <v>1695629</v>
      </c>
      <c r="Z187" s="61">
        <v>0</v>
      </c>
      <c r="AA187" s="61">
        <v>6664965</v>
      </c>
      <c r="AB187" s="61">
        <v>3880131</v>
      </c>
      <c r="AC187" s="61">
        <v>2784834</v>
      </c>
      <c r="AD187" s="61">
        <v>22466880</v>
      </c>
      <c r="AE187" s="61">
        <v>42757809</v>
      </c>
      <c r="AF187" s="61">
        <v>26688686</v>
      </c>
      <c r="AG187" s="61">
        <v>830125</v>
      </c>
      <c r="AH187" s="61">
        <v>763969</v>
      </c>
      <c r="AI187" s="61">
        <v>0</v>
      </c>
      <c r="AJ187" s="61">
        <v>763969</v>
      </c>
      <c r="AK187" s="61">
        <v>0</v>
      </c>
      <c r="AL187" s="61">
        <v>66156</v>
      </c>
      <c r="AM187" s="61">
        <v>0</v>
      </c>
      <c r="AN187" s="61">
        <v>197492</v>
      </c>
      <c r="AO187" s="64"/>
      <c r="AP187" s="61">
        <v>0</v>
      </c>
      <c r="AQ187" s="61">
        <v>25661069</v>
      </c>
      <c r="AR187" s="61">
        <v>16069123</v>
      </c>
      <c r="AS187" s="61">
        <v>13316628</v>
      </c>
      <c r="AT187" s="61">
        <v>11222715</v>
      </c>
      <c r="AU187" s="61">
        <v>2093913</v>
      </c>
      <c r="AV187" s="61">
        <v>2752495</v>
      </c>
      <c r="AW187" s="65">
        <v>0.999</v>
      </c>
      <c r="AX187">
        <f t="shared" si="26"/>
        <v>99900000</v>
      </c>
      <c r="AY187" s="78">
        <f t="shared" si="37"/>
        <v>0.999</v>
      </c>
    </row>
    <row r="188" spans="1:51" x14ac:dyDescent="0.25">
      <c r="A188" s="62">
        <v>1995.01</v>
      </c>
      <c r="B188" s="56" t="s">
        <v>108</v>
      </c>
      <c r="C188" s="57">
        <v>1995.01</v>
      </c>
      <c r="D188" s="54" t="s">
        <v>112</v>
      </c>
      <c r="E188" s="54">
        <v>1000</v>
      </c>
      <c r="F188" s="63">
        <v>1</v>
      </c>
      <c r="G188" s="61">
        <v>9640120.514489999</v>
      </c>
      <c r="H188" s="61">
        <f t="shared" si="27"/>
        <v>9640120514.4899998</v>
      </c>
      <c r="I188" s="146">
        <f t="shared" si="28"/>
        <v>0.999</v>
      </c>
      <c r="J188" s="61">
        <f t="shared" si="29"/>
        <v>9649770284.7747746</v>
      </c>
      <c r="K188" s="61">
        <f t="shared" si="30"/>
        <v>8516057065.4499998</v>
      </c>
      <c r="L188" s="61">
        <f t="shared" si="31"/>
        <v>22650490860.540001</v>
      </c>
      <c r="M188" s="61">
        <f t="shared" si="32"/>
        <v>11728282940.619999</v>
      </c>
      <c r="N188" s="86">
        <v>100.2893</v>
      </c>
      <c r="O188" s="80">
        <f t="shared" si="33"/>
        <v>9.9611822996072373E-3</v>
      </c>
      <c r="P188" s="61">
        <f t="shared" si="34"/>
        <v>84914911.814620301</v>
      </c>
      <c r="Q188" s="61">
        <f t="shared" si="35"/>
        <v>225851520.15758413</v>
      </c>
      <c r="R188" s="61">
        <f t="shared" si="36"/>
        <v>116944508.94183128</v>
      </c>
      <c r="S188" s="61">
        <v>8516057.0654499996</v>
      </c>
      <c r="T188" s="61">
        <v>1892931.1949200002</v>
      </c>
      <c r="U188" s="61">
        <v>1892931.1949200002</v>
      </c>
      <c r="V188" s="61">
        <v>0</v>
      </c>
      <c r="W188" s="61">
        <v>1892931.1949200006</v>
      </c>
      <c r="X188" s="61">
        <v>0</v>
      </c>
      <c r="Y188" s="61">
        <v>0</v>
      </c>
      <c r="Z188" s="61">
        <v>0</v>
      </c>
      <c r="AA188" s="61">
        <v>6623125.87053</v>
      </c>
      <c r="AB188" s="61">
        <v>3790104.7853800002</v>
      </c>
      <c r="AC188" s="61">
        <v>2833021.0851500002</v>
      </c>
      <c r="AD188" s="61">
        <v>22650490.860540003</v>
      </c>
      <c r="AE188" s="61">
        <v>40806668.440480001</v>
      </c>
      <c r="AF188" s="61">
        <v>29078385.499859996</v>
      </c>
      <c r="AG188" s="61">
        <v>862091.54205999989</v>
      </c>
      <c r="AH188" s="61">
        <v>271801.71833</v>
      </c>
      <c r="AI188" s="61">
        <v>0</v>
      </c>
      <c r="AJ188" s="61">
        <v>271801.71833</v>
      </c>
      <c r="AK188" s="61">
        <v>0</v>
      </c>
      <c r="AL188" s="61">
        <v>590289.82372999995</v>
      </c>
      <c r="AM188" s="61">
        <v>0</v>
      </c>
      <c r="AN188" s="61">
        <v>2743527.2065400002</v>
      </c>
      <c r="AO188" s="64"/>
      <c r="AP188" s="61">
        <v>0</v>
      </c>
      <c r="AQ188" s="61">
        <v>25472766.751259997</v>
      </c>
      <c r="AR188" s="61">
        <v>11728282.94062</v>
      </c>
      <c r="AS188" s="61">
        <v>11728282.94062</v>
      </c>
      <c r="AT188" s="61">
        <v>9478997.9406199995</v>
      </c>
      <c r="AU188" s="61">
        <v>2249285</v>
      </c>
      <c r="AV188" s="61">
        <v>0</v>
      </c>
      <c r="AW188" s="65">
        <v>0.999</v>
      </c>
      <c r="AX188">
        <f t="shared" si="26"/>
        <v>99900000</v>
      </c>
      <c r="AY188" s="78">
        <f t="shared" si="37"/>
        <v>0.999</v>
      </c>
    </row>
    <row r="189" spans="1:51" x14ac:dyDescent="0.25">
      <c r="A189" s="57"/>
      <c r="B189" s="56" t="s">
        <v>104</v>
      </c>
      <c r="C189" s="57">
        <v>1995.02</v>
      </c>
      <c r="D189" s="54" t="s">
        <v>112</v>
      </c>
      <c r="E189" s="54">
        <v>1000</v>
      </c>
      <c r="F189" s="63">
        <v>1</v>
      </c>
      <c r="G189" s="61">
        <v>8867979.1436799988</v>
      </c>
      <c r="H189" s="61">
        <f t="shared" si="27"/>
        <v>8867979143.6799984</v>
      </c>
      <c r="I189" s="146">
        <f t="shared" si="28"/>
        <v>0.999</v>
      </c>
      <c r="J189" s="61">
        <f t="shared" si="29"/>
        <v>8876855999.679678</v>
      </c>
      <c r="K189" s="61">
        <f t="shared" si="30"/>
        <v>8826059122.6000004</v>
      </c>
      <c r="L189" s="61">
        <f t="shared" si="31"/>
        <v>23079690283.150002</v>
      </c>
      <c r="M189" s="61">
        <f t="shared" si="32"/>
        <v>11327706187.790001</v>
      </c>
      <c r="N189" s="86">
        <v>100.28660000000001</v>
      </c>
      <c r="O189" s="80">
        <f t="shared" si="33"/>
        <v>9.9614504829159626E-3</v>
      </c>
      <c r="P189" s="61">
        <f t="shared" si="34"/>
        <v>88008359.268336937</v>
      </c>
      <c r="Q189" s="61">
        <f t="shared" si="35"/>
        <v>230137329.24588129</v>
      </c>
      <c r="R189" s="61">
        <f t="shared" si="36"/>
        <v>112953337.61230314</v>
      </c>
      <c r="S189" s="61">
        <v>8826059.1226000004</v>
      </c>
      <c r="T189" s="61">
        <v>2062387.8478700002</v>
      </c>
      <c r="U189" s="61">
        <v>2062387.8478700002</v>
      </c>
      <c r="V189" s="61">
        <v>0</v>
      </c>
      <c r="W189" s="61">
        <v>2062387.8478699997</v>
      </c>
      <c r="X189" s="61">
        <v>0</v>
      </c>
      <c r="Y189" s="61">
        <v>0</v>
      </c>
      <c r="Z189" s="61">
        <v>0</v>
      </c>
      <c r="AA189" s="61">
        <v>6763671.2747300006</v>
      </c>
      <c r="AB189" s="61">
        <v>3889196.8499600003</v>
      </c>
      <c r="AC189" s="61">
        <v>2874474.4247699999</v>
      </c>
      <c r="AD189" s="61">
        <v>23079690.283150002</v>
      </c>
      <c r="AE189" s="61">
        <v>40773728.549429998</v>
      </c>
      <c r="AF189" s="61">
        <v>29446022.361639999</v>
      </c>
      <c r="AG189" s="61">
        <v>377060.66003000003</v>
      </c>
      <c r="AH189" s="61">
        <v>180874.58744</v>
      </c>
      <c r="AI189" s="61">
        <v>0</v>
      </c>
      <c r="AJ189" s="61">
        <v>180874.58744</v>
      </c>
      <c r="AK189" s="61">
        <v>0</v>
      </c>
      <c r="AL189" s="61">
        <v>196186.07259</v>
      </c>
      <c r="AM189" s="61">
        <v>0</v>
      </c>
      <c r="AN189" s="61">
        <v>3183129.2855200004</v>
      </c>
      <c r="AO189" s="64"/>
      <c r="AP189" s="61">
        <v>0</v>
      </c>
      <c r="AQ189" s="61">
        <v>25885832.416089997</v>
      </c>
      <c r="AR189" s="61">
        <v>11327706.187790001</v>
      </c>
      <c r="AS189" s="61">
        <v>11327706.187790001</v>
      </c>
      <c r="AT189" s="61">
        <v>9278442.1877900008</v>
      </c>
      <c r="AU189" s="61">
        <v>2049264</v>
      </c>
      <c r="AV189" s="61">
        <v>0</v>
      </c>
      <c r="AW189" s="65">
        <v>0.999</v>
      </c>
      <c r="AX189">
        <f t="shared" si="26"/>
        <v>99900000</v>
      </c>
      <c r="AY189" s="78">
        <f t="shared" si="37"/>
        <v>0.999</v>
      </c>
    </row>
    <row r="190" spans="1:51" x14ac:dyDescent="0.25">
      <c r="A190" s="57"/>
      <c r="B190" s="56" t="s">
        <v>105</v>
      </c>
      <c r="C190" s="57">
        <v>1995.03</v>
      </c>
      <c r="D190" s="54" t="s">
        <v>112</v>
      </c>
      <c r="E190" s="54">
        <v>1000</v>
      </c>
      <c r="F190" s="63">
        <v>1</v>
      </c>
      <c r="G190" s="61">
        <v>5842229.011549999</v>
      </c>
      <c r="H190" s="61">
        <f t="shared" si="27"/>
        <v>5842229011.5499992</v>
      </c>
      <c r="I190" s="146">
        <f t="shared" si="28"/>
        <v>0.999</v>
      </c>
      <c r="J190" s="61">
        <f t="shared" si="29"/>
        <v>5848077088.6386375</v>
      </c>
      <c r="K190" s="61">
        <f t="shared" si="30"/>
        <v>9234268761.0900002</v>
      </c>
      <c r="L190" s="61">
        <f t="shared" si="31"/>
        <v>24044300931.850002</v>
      </c>
      <c r="M190" s="61">
        <f t="shared" si="32"/>
        <v>10851195334.58</v>
      </c>
      <c r="N190" s="86">
        <v>99.835999999999999</v>
      </c>
      <c r="O190" s="80">
        <f t="shared" si="33"/>
        <v>1.0006410513241717E-2</v>
      </c>
      <c r="P190" s="61">
        <f t="shared" si="34"/>
        <v>92494378.391461998</v>
      </c>
      <c r="Q190" s="61">
        <f t="shared" si="35"/>
        <v>240837983.61162308</v>
      </c>
      <c r="R190" s="61">
        <f t="shared" si="36"/>
        <v>108690205.28246324</v>
      </c>
      <c r="S190" s="61">
        <v>9234268.7610900011</v>
      </c>
      <c r="T190" s="61">
        <v>1097605.8839200004</v>
      </c>
      <c r="U190" s="61">
        <v>1097605.8839200004</v>
      </c>
      <c r="V190" s="61">
        <v>0</v>
      </c>
      <c r="W190" s="61">
        <v>1097605.8839199999</v>
      </c>
      <c r="X190" s="61">
        <v>0</v>
      </c>
      <c r="Y190" s="61">
        <v>0</v>
      </c>
      <c r="Z190" s="61">
        <v>0</v>
      </c>
      <c r="AA190" s="61">
        <v>8136662.8771700002</v>
      </c>
      <c r="AB190" s="61">
        <v>5138478.8320300002</v>
      </c>
      <c r="AC190" s="61">
        <v>2998184.0451400001</v>
      </c>
      <c r="AD190" s="61">
        <v>24044300.931850001</v>
      </c>
      <c r="AE190" s="61">
        <v>39120798.704490006</v>
      </c>
      <c r="AF190" s="61">
        <v>28269603.369910005</v>
      </c>
      <c r="AG190" s="61">
        <v>196747.83112000002</v>
      </c>
      <c r="AH190" s="61">
        <v>4689.9144999999999</v>
      </c>
      <c r="AI190" s="61">
        <v>0</v>
      </c>
      <c r="AJ190" s="61">
        <v>4689.9144999999999</v>
      </c>
      <c r="AK190" s="61">
        <v>0</v>
      </c>
      <c r="AL190" s="61">
        <v>192057.91662</v>
      </c>
      <c r="AM190" s="61">
        <v>0</v>
      </c>
      <c r="AN190" s="61">
        <v>2337009.6703499998</v>
      </c>
      <c r="AO190" s="64"/>
      <c r="AP190" s="61">
        <v>0</v>
      </c>
      <c r="AQ190" s="61">
        <v>25735845.868440006</v>
      </c>
      <c r="AR190" s="61">
        <v>10851195.33458</v>
      </c>
      <c r="AS190" s="61">
        <v>10851195.33458</v>
      </c>
      <c r="AT190" s="61">
        <v>9154206.3345800005</v>
      </c>
      <c r="AU190" s="61">
        <v>1696989</v>
      </c>
      <c r="AV190" s="61">
        <v>0</v>
      </c>
      <c r="AW190" s="65">
        <v>0.999</v>
      </c>
      <c r="AX190">
        <f t="shared" si="26"/>
        <v>99900000</v>
      </c>
      <c r="AY190" s="78">
        <f t="shared" si="37"/>
        <v>0.999</v>
      </c>
    </row>
    <row r="191" spans="1:51" x14ac:dyDescent="0.25">
      <c r="A191" s="57"/>
      <c r="B191" s="56" t="s">
        <v>106</v>
      </c>
      <c r="C191" s="57">
        <v>1995.04</v>
      </c>
      <c r="D191" s="54" t="s">
        <v>112</v>
      </c>
      <c r="E191" s="54">
        <v>1000</v>
      </c>
      <c r="F191" s="63">
        <v>1</v>
      </c>
      <c r="G191" s="61">
        <v>5462118.1645000009</v>
      </c>
      <c r="H191" s="61">
        <f t="shared" si="27"/>
        <v>5462118164.500001</v>
      </c>
      <c r="I191" s="146">
        <f t="shared" si="28"/>
        <v>0.999</v>
      </c>
      <c r="J191" s="61">
        <f t="shared" si="29"/>
        <v>5467585750.2502508</v>
      </c>
      <c r="K191" s="61">
        <f t="shared" si="30"/>
        <v>10841920813.32</v>
      </c>
      <c r="L191" s="61">
        <f t="shared" si="31"/>
        <v>24410370596.939999</v>
      </c>
      <c r="M191" s="61">
        <f t="shared" si="32"/>
        <v>11069476404.43</v>
      </c>
      <c r="N191" s="86">
        <v>100.29259999999999</v>
      </c>
      <c r="O191" s="80">
        <f t="shared" si="33"/>
        <v>9.9608545396170818E-3</v>
      </c>
      <c r="P191" s="61">
        <f t="shared" si="34"/>
        <v>108102899.05057801</v>
      </c>
      <c r="Q191" s="61">
        <f t="shared" si="35"/>
        <v>243391542.3165817</v>
      </c>
      <c r="R191" s="61">
        <f t="shared" si="36"/>
        <v>110371816.1103611</v>
      </c>
      <c r="S191" s="61">
        <v>10841920.81332</v>
      </c>
      <c r="T191" s="61">
        <v>1101366.4115700002</v>
      </c>
      <c r="U191" s="61">
        <v>1101366.4115700002</v>
      </c>
      <c r="V191" s="61">
        <v>0</v>
      </c>
      <c r="W191" s="61">
        <v>1101366.4115700005</v>
      </c>
      <c r="X191" s="61">
        <v>0</v>
      </c>
      <c r="Y191" s="61">
        <v>0</v>
      </c>
      <c r="Z191" s="61">
        <v>0</v>
      </c>
      <c r="AA191" s="61">
        <v>9740554.4017500002</v>
      </c>
      <c r="AB191" s="61">
        <v>5072068.0636999998</v>
      </c>
      <c r="AC191" s="61">
        <v>4668486.3380500004</v>
      </c>
      <c r="AD191" s="61">
        <v>24410370.59694</v>
      </c>
      <c r="AE191" s="61">
        <v>40714409.574760005</v>
      </c>
      <c r="AF191" s="61">
        <v>29644933.170330007</v>
      </c>
      <c r="AG191" s="61">
        <v>563350.20883999998</v>
      </c>
      <c r="AH191" s="61">
        <v>372783.01380000002</v>
      </c>
      <c r="AI191" s="61">
        <v>0</v>
      </c>
      <c r="AJ191" s="61">
        <v>372783.01380000002</v>
      </c>
      <c r="AK191" s="61">
        <v>0</v>
      </c>
      <c r="AL191" s="61">
        <v>190567.19503999999</v>
      </c>
      <c r="AM191" s="61">
        <v>0</v>
      </c>
      <c r="AN191" s="61">
        <v>3229968.0700099999</v>
      </c>
      <c r="AO191" s="64"/>
      <c r="AP191" s="61">
        <v>0</v>
      </c>
      <c r="AQ191" s="61">
        <v>25851614.891480006</v>
      </c>
      <c r="AR191" s="61">
        <v>11069476.40443</v>
      </c>
      <c r="AS191" s="61">
        <v>11069476.40443</v>
      </c>
      <c r="AT191" s="61">
        <v>9490690.4044300001</v>
      </c>
      <c r="AU191" s="61">
        <v>1578786</v>
      </c>
      <c r="AV191" s="61">
        <v>0</v>
      </c>
      <c r="AW191" s="65">
        <v>0.999</v>
      </c>
      <c r="AX191">
        <f t="shared" si="26"/>
        <v>99900000</v>
      </c>
      <c r="AY191" s="78">
        <f t="shared" si="37"/>
        <v>0.999</v>
      </c>
    </row>
    <row r="192" spans="1:51" x14ac:dyDescent="0.25">
      <c r="A192" s="57"/>
      <c r="B192" s="56" t="s">
        <v>107</v>
      </c>
      <c r="C192" s="57">
        <v>1995.05</v>
      </c>
      <c r="D192" s="54" t="s">
        <v>112</v>
      </c>
      <c r="E192" s="54">
        <v>1000</v>
      </c>
      <c r="F192" s="63">
        <v>1</v>
      </c>
      <c r="G192" s="61">
        <v>4911674.2567399982</v>
      </c>
      <c r="H192" s="61">
        <f t="shared" si="27"/>
        <v>4911674256.7399979</v>
      </c>
      <c r="I192" s="146">
        <f t="shared" si="28"/>
        <v>0.999</v>
      </c>
      <c r="J192" s="61">
        <f t="shared" si="29"/>
        <v>4916590847.5875854</v>
      </c>
      <c r="K192" s="61">
        <f t="shared" si="30"/>
        <v>10550383422.860001</v>
      </c>
      <c r="L192" s="61">
        <f t="shared" si="31"/>
        <v>24396187323.899998</v>
      </c>
      <c r="M192" s="61">
        <f t="shared" si="32"/>
        <v>10783923938.039999</v>
      </c>
      <c r="N192" s="86">
        <v>100.3137</v>
      </c>
      <c r="O192" s="80">
        <f t="shared" si="33"/>
        <v>9.9587593718505046E-3</v>
      </c>
      <c r="P192" s="61">
        <f t="shared" si="34"/>
        <v>105173903.69271596</v>
      </c>
      <c r="Q192" s="61">
        <f t="shared" si="35"/>
        <v>243198958.10741702</v>
      </c>
      <c r="R192" s="61">
        <f t="shared" si="36"/>
        <v>107502005.58886771</v>
      </c>
      <c r="S192" s="61">
        <v>10550383.42286</v>
      </c>
      <c r="T192" s="61">
        <v>1041744.7718399998</v>
      </c>
      <c r="U192" s="61">
        <v>1041744.7718399998</v>
      </c>
      <c r="V192" s="61">
        <v>0</v>
      </c>
      <c r="W192" s="61">
        <v>1041744.7718399996</v>
      </c>
      <c r="X192" s="61">
        <v>0</v>
      </c>
      <c r="Y192" s="61">
        <v>0</v>
      </c>
      <c r="Z192" s="61">
        <v>0</v>
      </c>
      <c r="AA192" s="61">
        <v>9508638.6510199998</v>
      </c>
      <c r="AB192" s="61">
        <v>4831628.8470799997</v>
      </c>
      <c r="AC192" s="61">
        <v>4677009.80394</v>
      </c>
      <c r="AD192" s="61">
        <v>24396187.323899999</v>
      </c>
      <c r="AE192" s="61">
        <v>39858245.0035</v>
      </c>
      <c r="AF192" s="61">
        <v>29074321.06546</v>
      </c>
      <c r="AG192" s="61">
        <v>258921.38456999999</v>
      </c>
      <c r="AH192" s="61">
        <v>72436.767500000002</v>
      </c>
      <c r="AI192" s="61">
        <v>0</v>
      </c>
      <c r="AJ192" s="61">
        <v>72436.767500000002</v>
      </c>
      <c r="AK192" s="61">
        <v>0</v>
      </c>
      <c r="AL192" s="61">
        <v>186484.61707000001</v>
      </c>
      <c r="AM192" s="61">
        <v>0</v>
      </c>
      <c r="AN192" s="61">
        <v>2911233.6097900001</v>
      </c>
      <c r="AO192" s="64"/>
      <c r="AP192" s="61">
        <v>0</v>
      </c>
      <c r="AQ192" s="61">
        <v>25904166.0711</v>
      </c>
      <c r="AR192" s="61">
        <v>10783923.938039999</v>
      </c>
      <c r="AS192" s="61">
        <v>10783923.938039999</v>
      </c>
      <c r="AT192" s="61">
        <v>8889736.9380399995</v>
      </c>
      <c r="AU192" s="61">
        <v>1894187</v>
      </c>
      <c r="AV192" s="61">
        <v>0</v>
      </c>
      <c r="AW192" s="65">
        <v>0.999</v>
      </c>
      <c r="AX192">
        <f t="shared" si="26"/>
        <v>99900000</v>
      </c>
      <c r="AY192" s="78">
        <f t="shared" si="37"/>
        <v>0.999</v>
      </c>
    </row>
    <row r="193" spans="1:51" x14ac:dyDescent="0.25">
      <c r="A193" s="57"/>
      <c r="B193" s="56" t="s">
        <v>96</v>
      </c>
      <c r="C193" s="57">
        <v>1995.06</v>
      </c>
      <c r="D193" s="54" t="s">
        <v>112</v>
      </c>
      <c r="E193" s="54">
        <v>1000</v>
      </c>
      <c r="F193" s="63">
        <v>1</v>
      </c>
      <c r="G193" s="61">
        <v>6727146.0929399999</v>
      </c>
      <c r="H193" s="61">
        <f t="shared" si="27"/>
        <v>6727146092.9399996</v>
      </c>
      <c r="I193" s="146">
        <f t="shared" si="28"/>
        <v>0.999</v>
      </c>
      <c r="J193" s="61">
        <f t="shared" si="29"/>
        <v>6733879972.9129124</v>
      </c>
      <c r="K193" s="61">
        <f t="shared" si="30"/>
        <v>10478040524.209999</v>
      </c>
      <c r="L193" s="61">
        <f t="shared" si="31"/>
        <v>24356026427.970001</v>
      </c>
      <c r="M193" s="61">
        <f t="shared" si="32"/>
        <v>11186907801.449999</v>
      </c>
      <c r="N193" s="86">
        <v>100.1071</v>
      </c>
      <c r="O193" s="80">
        <f t="shared" si="33"/>
        <v>9.9793121566801955E-3</v>
      </c>
      <c r="P193" s="61">
        <f t="shared" si="34"/>
        <v>104668305.48692349</v>
      </c>
      <c r="Q193" s="61">
        <f t="shared" si="35"/>
        <v>243299690.31137651</v>
      </c>
      <c r="R193" s="61">
        <f t="shared" si="36"/>
        <v>111749394.41308357</v>
      </c>
      <c r="S193" s="61">
        <v>10478040.524209999</v>
      </c>
      <c r="T193" s="61">
        <v>1051645.2627699999</v>
      </c>
      <c r="U193" s="61">
        <v>1051645.2627699999</v>
      </c>
      <c r="V193" s="61">
        <v>0</v>
      </c>
      <c r="W193" s="61">
        <v>1051645.2627699999</v>
      </c>
      <c r="X193" s="61">
        <v>0</v>
      </c>
      <c r="Y193" s="61">
        <v>0</v>
      </c>
      <c r="Z193" s="61">
        <v>0</v>
      </c>
      <c r="AA193" s="61">
        <v>9426395.2614399996</v>
      </c>
      <c r="AB193" s="61">
        <v>4770546.2614399996</v>
      </c>
      <c r="AC193" s="61">
        <v>4655849</v>
      </c>
      <c r="AD193" s="61">
        <v>24356026.42797</v>
      </c>
      <c r="AE193" s="61">
        <v>41561213.045120001</v>
      </c>
      <c r="AF193" s="61">
        <v>30374305.243669998</v>
      </c>
      <c r="AG193" s="61">
        <v>1836548.15827</v>
      </c>
      <c r="AH193" s="61">
        <v>1508657.7424999999</v>
      </c>
      <c r="AI193" s="61">
        <v>0</v>
      </c>
      <c r="AJ193" s="61">
        <v>1508657.7424999999</v>
      </c>
      <c r="AK193" s="61">
        <v>0</v>
      </c>
      <c r="AL193" s="61">
        <v>327890.41577000002</v>
      </c>
      <c r="AM193" s="61">
        <v>0</v>
      </c>
      <c r="AN193" s="61">
        <v>2453379.26498</v>
      </c>
      <c r="AO193" s="64"/>
      <c r="AP193" s="61">
        <v>0</v>
      </c>
      <c r="AQ193" s="61">
        <v>26084377.820419997</v>
      </c>
      <c r="AR193" s="61">
        <v>11186907.801449999</v>
      </c>
      <c r="AS193" s="61">
        <v>11186907.801449999</v>
      </c>
      <c r="AT193" s="61">
        <v>9239341.8014499992</v>
      </c>
      <c r="AU193" s="61">
        <v>1947566</v>
      </c>
      <c r="AV193" s="61">
        <v>0</v>
      </c>
      <c r="AW193" s="65">
        <v>0.999</v>
      </c>
      <c r="AX193">
        <f t="shared" ref="AX193:AX256" si="39">+AW193*100000000</f>
        <v>99900000</v>
      </c>
      <c r="AY193" s="78">
        <f t="shared" si="37"/>
        <v>0.999</v>
      </c>
    </row>
    <row r="194" spans="1:51" x14ac:dyDescent="0.25">
      <c r="A194" s="57"/>
      <c r="B194" s="56" t="s">
        <v>97</v>
      </c>
      <c r="C194" s="57">
        <v>1995.07</v>
      </c>
      <c r="D194" s="54" t="s">
        <v>112</v>
      </c>
      <c r="E194" s="54">
        <v>1000</v>
      </c>
      <c r="F194" s="63">
        <v>1</v>
      </c>
      <c r="G194" s="61">
        <v>7051592.9190599993</v>
      </c>
      <c r="H194" s="61">
        <f t="shared" si="27"/>
        <v>7051592919.0599995</v>
      </c>
      <c r="I194" s="146">
        <f t="shared" si="28"/>
        <v>0.999</v>
      </c>
      <c r="J194" s="61">
        <f t="shared" si="29"/>
        <v>7058651570.6306305</v>
      </c>
      <c r="K194" s="61">
        <f t="shared" si="30"/>
        <v>10169084301.190001</v>
      </c>
      <c r="L194" s="61">
        <f t="shared" si="31"/>
        <v>24337994000</v>
      </c>
      <c r="M194" s="61">
        <f t="shared" si="32"/>
        <v>11876548240.369999</v>
      </c>
      <c r="N194" s="86">
        <v>100.5132</v>
      </c>
      <c r="O194" s="80">
        <f t="shared" si="33"/>
        <v>9.9389930874750777E-3</v>
      </c>
      <c r="P194" s="61">
        <f t="shared" si="34"/>
        <v>101171630.20568444</v>
      </c>
      <c r="Q194" s="61">
        <f t="shared" si="35"/>
        <v>242137291.42043036</v>
      </c>
      <c r="R194" s="61">
        <f t="shared" si="36"/>
        <v>118159089.95405577</v>
      </c>
      <c r="S194" s="61">
        <v>10169084.30119</v>
      </c>
      <c r="T194" s="61">
        <v>1042899.5719900001</v>
      </c>
      <c r="U194" s="61">
        <v>1042899.5719900001</v>
      </c>
      <c r="V194" s="61">
        <v>0</v>
      </c>
      <c r="W194" s="61">
        <v>1042899.5719900001</v>
      </c>
      <c r="X194" s="61">
        <v>0</v>
      </c>
      <c r="Y194" s="61">
        <v>0</v>
      </c>
      <c r="Z194" s="61">
        <v>0</v>
      </c>
      <c r="AA194" s="61">
        <v>9126184.7291999999</v>
      </c>
      <c r="AB194" s="61">
        <v>4510668.7291999999</v>
      </c>
      <c r="AC194" s="61">
        <v>4615516</v>
      </c>
      <c r="AD194" s="61">
        <v>24337994</v>
      </c>
      <c r="AE194" s="61">
        <v>41558671.220249996</v>
      </c>
      <c r="AF194" s="61">
        <v>29682122.979880001</v>
      </c>
      <c r="AG194" s="61">
        <v>520593.63883999997</v>
      </c>
      <c r="AH194" s="61">
        <v>298829.38387999998</v>
      </c>
      <c r="AI194" s="61">
        <v>0</v>
      </c>
      <c r="AJ194" s="61">
        <v>298829.38387999998</v>
      </c>
      <c r="AK194" s="61">
        <v>0</v>
      </c>
      <c r="AL194" s="61">
        <v>221764.25495999999</v>
      </c>
      <c r="AM194" s="61">
        <v>0</v>
      </c>
      <c r="AN194" s="61">
        <v>3067993.2828299999</v>
      </c>
      <c r="AO194" s="64"/>
      <c r="AP194" s="61">
        <v>0</v>
      </c>
      <c r="AQ194" s="61">
        <v>26093536.05821</v>
      </c>
      <c r="AR194" s="61">
        <v>11876548.24037</v>
      </c>
      <c r="AS194" s="61">
        <v>11876548.24037</v>
      </c>
      <c r="AT194" s="61">
        <v>9696173.2403699998</v>
      </c>
      <c r="AU194" s="61">
        <v>2180375</v>
      </c>
      <c r="AV194" s="61">
        <v>0</v>
      </c>
      <c r="AW194" s="65">
        <v>0.999</v>
      </c>
      <c r="AX194">
        <f t="shared" si="39"/>
        <v>99900000</v>
      </c>
      <c r="AY194" s="78">
        <f t="shared" si="37"/>
        <v>0.999</v>
      </c>
    </row>
    <row r="195" spans="1:51" x14ac:dyDescent="0.25">
      <c r="A195" s="57"/>
      <c r="B195" s="56" t="s">
        <v>98</v>
      </c>
      <c r="C195" s="57">
        <v>1995.08</v>
      </c>
      <c r="D195" s="54" t="s">
        <v>112</v>
      </c>
      <c r="E195" s="54">
        <v>1000</v>
      </c>
      <c r="F195" s="63">
        <v>1</v>
      </c>
      <c r="G195" s="61">
        <v>5826063.4638599996</v>
      </c>
      <c r="H195" s="61">
        <f t="shared" si="27"/>
        <v>5826063463.8599997</v>
      </c>
      <c r="I195" s="146">
        <f t="shared" si="28"/>
        <v>0.999</v>
      </c>
      <c r="J195" s="61">
        <f t="shared" si="29"/>
        <v>5831895359.2192192</v>
      </c>
      <c r="K195" s="61">
        <f t="shared" si="30"/>
        <v>9739390379.5600014</v>
      </c>
      <c r="L195" s="61">
        <f t="shared" si="31"/>
        <v>24279323554.219997</v>
      </c>
      <c r="M195" s="61">
        <f t="shared" si="32"/>
        <v>11371254505.15</v>
      </c>
      <c r="N195" s="86">
        <v>100.2697</v>
      </c>
      <c r="O195" s="80">
        <f t="shared" si="33"/>
        <v>9.9631294399005876E-3</v>
      </c>
      <c r="P195" s="61">
        <f t="shared" si="34"/>
        <v>97131938.956235051</v>
      </c>
      <c r="Q195" s="61">
        <f t="shared" si="35"/>
        <v>242140183.46738842</v>
      </c>
      <c r="R195" s="61">
        <f t="shared" si="36"/>
        <v>113406687.21607824</v>
      </c>
      <c r="S195" s="61">
        <v>9739390.3795600012</v>
      </c>
      <c r="T195" s="61">
        <v>1045154.5384799999</v>
      </c>
      <c r="U195" s="61">
        <v>1045154.5384799999</v>
      </c>
      <c r="V195" s="61">
        <v>0</v>
      </c>
      <c r="W195" s="61">
        <v>1045154.5384799996</v>
      </c>
      <c r="X195" s="61">
        <v>0</v>
      </c>
      <c r="Y195" s="61">
        <v>0</v>
      </c>
      <c r="Z195" s="61">
        <v>0</v>
      </c>
      <c r="AA195" s="61">
        <v>8694235.8410800006</v>
      </c>
      <c r="AB195" s="61">
        <v>4302874.8410800006</v>
      </c>
      <c r="AC195" s="61">
        <v>4391361</v>
      </c>
      <c r="AD195" s="61">
        <v>24279323.554219998</v>
      </c>
      <c r="AE195" s="61">
        <v>39844777.397639997</v>
      </c>
      <c r="AF195" s="61">
        <v>28473522.89249</v>
      </c>
      <c r="AG195" s="61">
        <v>304403.83187999995</v>
      </c>
      <c r="AH195" s="61">
        <v>16639.645110000001</v>
      </c>
      <c r="AI195" s="61">
        <v>0</v>
      </c>
      <c r="AJ195" s="61">
        <v>16639.645110000001</v>
      </c>
      <c r="AK195" s="61">
        <v>0</v>
      </c>
      <c r="AL195" s="61">
        <v>287764.18676999997</v>
      </c>
      <c r="AM195" s="61">
        <v>0</v>
      </c>
      <c r="AN195" s="61">
        <v>2291937.1607300001</v>
      </c>
      <c r="AO195" s="64"/>
      <c r="AP195" s="61">
        <v>0</v>
      </c>
      <c r="AQ195" s="61">
        <v>25877181.899879999</v>
      </c>
      <c r="AR195" s="61">
        <v>11371254.50515</v>
      </c>
      <c r="AS195" s="61">
        <v>11371254.50515</v>
      </c>
      <c r="AT195" s="61">
        <v>9302425.5051499996</v>
      </c>
      <c r="AU195" s="61">
        <v>2068829</v>
      </c>
      <c r="AV195" s="61">
        <v>0</v>
      </c>
      <c r="AW195" s="65">
        <v>0.999</v>
      </c>
      <c r="AX195">
        <f t="shared" si="39"/>
        <v>99900000</v>
      </c>
      <c r="AY195" s="78">
        <f t="shared" si="37"/>
        <v>0.999</v>
      </c>
    </row>
    <row r="196" spans="1:51" x14ac:dyDescent="0.25">
      <c r="A196" s="57"/>
      <c r="B196" s="56" t="s">
        <v>99</v>
      </c>
      <c r="C196" s="57">
        <v>1995.09</v>
      </c>
      <c r="D196" s="54" t="s">
        <v>112</v>
      </c>
      <c r="E196" s="54">
        <v>1000</v>
      </c>
      <c r="F196" s="63">
        <v>1</v>
      </c>
      <c r="G196" s="61">
        <v>6941434.9130199989</v>
      </c>
      <c r="H196" s="61">
        <f t="shared" si="27"/>
        <v>6941434913.0199986</v>
      </c>
      <c r="I196" s="146">
        <f t="shared" si="28"/>
        <v>0.999</v>
      </c>
      <c r="J196" s="61">
        <f t="shared" si="29"/>
        <v>6948383296.3163147</v>
      </c>
      <c r="K196" s="61">
        <f t="shared" si="30"/>
        <v>9851612065.8100014</v>
      </c>
      <c r="L196" s="61">
        <f t="shared" si="31"/>
        <v>24241793253.860001</v>
      </c>
      <c r="M196" s="61">
        <f t="shared" si="32"/>
        <v>11113508246.76</v>
      </c>
      <c r="N196" s="86">
        <v>100.4345</v>
      </c>
      <c r="O196" s="80">
        <f t="shared" si="33"/>
        <v>9.9467812355316151E-3</v>
      </c>
      <c r="P196" s="61">
        <f t="shared" si="34"/>
        <v>98089919.955891669</v>
      </c>
      <c r="Q196" s="61">
        <f t="shared" si="35"/>
        <v>241369183.43656811</v>
      </c>
      <c r="R196" s="61">
        <f t="shared" si="36"/>
        <v>110654289.57937761</v>
      </c>
      <c r="S196" s="61">
        <v>9851612.0658100005</v>
      </c>
      <c r="T196" s="61">
        <v>1048290.5122500004</v>
      </c>
      <c r="U196" s="61">
        <v>1048290.5122500004</v>
      </c>
      <c r="V196" s="61">
        <v>0</v>
      </c>
      <c r="W196" s="61">
        <v>1048290.5122500006</v>
      </c>
      <c r="X196" s="61">
        <v>0</v>
      </c>
      <c r="Y196" s="61">
        <v>0</v>
      </c>
      <c r="Z196" s="61">
        <v>0</v>
      </c>
      <c r="AA196" s="61">
        <v>8803321.5535599999</v>
      </c>
      <c r="AB196" s="61">
        <v>3959418.5535599999</v>
      </c>
      <c r="AC196" s="61">
        <v>4843903</v>
      </c>
      <c r="AD196" s="61">
        <v>24241793.253860001</v>
      </c>
      <c r="AE196" s="61">
        <v>41034840.232689999</v>
      </c>
      <c r="AF196" s="61">
        <v>29921331.985930003</v>
      </c>
      <c r="AG196" s="61">
        <v>2194257.7749399999</v>
      </c>
      <c r="AH196" s="61">
        <v>1921742.1881299999</v>
      </c>
      <c r="AI196" s="61">
        <v>0</v>
      </c>
      <c r="AJ196" s="61">
        <v>1921742.1881299999</v>
      </c>
      <c r="AK196" s="61">
        <v>0</v>
      </c>
      <c r="AL196" s="61">
        <v>272515.58681000001</v>
      </c>
      <c r="AM196" s="61">
        <v>0</v>
      </c>
      <c r="AN196" s="61">
        <v>1856532.30467</v>
      </c>
      <c r="AO196" s="64"/>
      <c r="AP196" s="61">
        <v>0</v>
      </c>
      <c r="AQ196" s="61">
        <v>25870541.906320002</v>
      </c>
      <c r="AR196" s="61">
        <v>11113508.24676</v>
      </c>
      <c r="AS196" s="61">
        <v>11113508.24676</v>
      </c>
      <c r="AT196" s="61">
        <v>9311093.2467599995</v>
      </c>
      <c r="AU196" s="61">
        <v>1802415</v>
      </c>
      <c r="AV196" s="61">
        <v>0</v>
      </c>
      <c r="AW196" s="65">
        <v>0.999</v>
      </c>
      <c r="AX196">
        <f t="shared" si="39"/>
        <v>99900000</v>
      </c>
      <c r="AY196" s="78">
        <f t="shared" si="37"/>
        <v>0.999</v>
      </c>
    </row>
    <row r="197" spans="1:51" x14ac:dyDescent="0.25">
      <c r="A197" s="57"/>
      <c r="B197" s="56" t="s">
        <v>100</v>
      </c>
      <c r="C197" s="57">
        <v>1995.1</v>
      </c>
      <c r="D197" s="54" t="s">
        <v>112</v>
      </c>
      <c r="E197" s="54">
        <v>1000</v>
      </c>
      <c r="F197" s="63">
        <v>1</v>
      </c>
      <c r="G197" s="61">
        <v>6404143.5015400006</v>
      </c>
      <c r="H197" s="61">
        <f t="shared" si="27"/>
        <v>6404143501.5400009</v>
      </c>
      <c r="I197" s="146">
        <f t="shared" si="28"/>
        <v>0.999</v>
      </c>
      <c r="J197" s="61">
        <f t="shared" si="29"/>
        <v>6410554055.5955963</v>
      </c>
      <c r="K197" s="61">
        <f t="shared" si="30"/>
        <v>9366083513.4300003</v>
      </c>
      <c r="L197" s="61">
        <f t="shared" si="31"/>
        <v>24144765280.359997</v>
      </c>
      <c r="M197" s="61">
        <f t="shared" si="32"/>
        <v>11102176809.289999</v>
      </c>
      <c r="N197" s="86">
        <v>100.776</v>
      </c>
      <c r="O197" s="80">
        <f t="shared" si="33"/>
        <v>9.9130745415575133E-3</v>
      </c>
      <c r="P197" s="61">
        <f t="shared" si="34"/>
        <v>92939623.654739231</v>
      </c>
      <c r="Q197" s="61">
        <f t="shared" si="35"/>
        <v>239588446.45907754</v>
      </c>
      <c r="R197" s="61">
        <f t="shared" si="36"/>
        <v>110166873.15720013</v>
      </c>
      <c r="S197" s="61">
        <v>9366083.5134299994</v>
      </c>
      <c r="T197" s="61">
        <v>1030676.8506200004</v>
      </c>
      <c r="U197" s="61">
        <v>1030676.8506200004</v>
      </c>
      <c r="V197" s="61">
        <v>0</v>
      </c>
      <c r="W197" s="61">
        <v>1030676.8506200006</v>
      </c>
      <c r="X197" s="61">
        <v>0</v>
      </c>
      <c r="Y197" s="61">
        <v>0</v>
      </c>
      <c r="Z197" s="61">
        <v>0</v>
      </c>
      <c r="AA197" s="61">
        <v>8335406.6628099997</v>
      </c>
      <c r="AB197" s="61">
        <v>3529352.6628100001</v>
      </c>
      <c r="AC197" s="61">
        <v>4806054</v>
      </c>
      <c r="AD197" s="61">
        <v>24144765.280359998</v>
      </c>
      <c r="AE197" s="61">
        <v>39914992.295330003</v>
      </c>
      <c r="AF197" s="61">
        <v>28812815.486040007</v>
      </c>
      <c r="AG197" s="61">
        <v>1281178.3736099999</v>
      </c>
      <c r="AH197" s="61">
        <v>1007039.90022</v>
      </c>
      <c r="AI197" s="61">
        <v>0</v>
      </c>
      <c r="AJ197" s="61">
        <v>1007039.90022</v>
      </c>
      <c r="AK197" s="61">
        <v>0</v>
      </c>
      <c r="AL197" s="61">
        <v>274138.47339</v>
      </c>
      <c r="AM197" s="61">
        <v>0</v>
      </c>
      <c r="AN197" s="61">
        <v>1590768.91827</v>
      </c>
      <c r="AO197" s="64"/>
      <c r="AP197" s="61">
        <v>0</v>
      </c>
      <c r="AQ197" s="61">
        <v>25940868.194160007</v>
      </c>
      <c r="AR197" s="61">
        <v>11102176.809289999</v>
      </c>
      <c r="AS197" s="61">
        <v>11102176.809289999</v>
      </c>
      <c r="AT197" s="61">
        <v>9081893.8092899993</v>
      </c>
      <c r="AU197" s="61">
        <v>2020283</v>
      </c>
      <c r="AV197" s="61">
        <v>0</v>
      </c>
      <c r="AW197" s="65">
        <v>0.999</v>
      </c>
      <c r="AX197">
        <f t="shared" si="39"/>
        <v>99900000</v>
      </c>
      <c r="AY197" s="78">
        <f t="shared" si="37"/>
        <v>0.999</v>
      </c>
    </row>
    <row r="198" spans="1:51" x14ac:dyDescent="0.25">
      <c r="A198" s="57"/>
      <c r="B198" s="56" t="s">
        <v>101</v>
      </c>
      <c r="C198" s="57">
        <v>1995.11</v>
      </c>
      <c r="D198" s="54" t="s">
        <v>112</v>
      </c>
      <c r="E198" s="54">
        <v>1000</v>
      </c>
      <c r="F198" s="63">
        <v>1</v>
      </c>
      <c r="G198" s="61">
        <v>6561519.3780100001</v>
      </c>
      <c r="H198" s="61">
        <f t="shared" si="27"/>
        <v>6561519378.0100002</v>
      </c>
      <c r="I198" s="146">
        <f t="shared" si="28"/>
        <v>0.999</v>
      </c>
      <c r="J198" s="61">
        <f t="shared" si="29"/>
        <v>6568087465.4754753</v>
      </c>
      <c r="K198" s="61">
        <f t="shared" si="30"/>
        <v>8644362863.5200005</v>
      </c>
      <c r="L198" s="61">
        <f t="shared" si="31"/>
        <v>24689156150.079998</v>
      </c>
      <c r="M198" s="61">
        <f t="shared" si="32"/>
        <v>11056082111.93</v>
      </c>
      <c r="N198" s="86">
        <v>100.5458</v>
      </c>
      <c r="O198" s="80">
        <f t="shared" si="33"/>
        <v>9.935770564260267E-3</v>
      </c>
      <c r="P198" s="61">
        <f t="shared" si="34"/>
        <v>85974380.466613233</v>
      </c>
      <c r="Q198" s="61">
        <f t="shared" si="35"/>
        <v>245551342.27466485</v>
      </c>
      <c r="R198" s="61">
        <f t="shared" si="36"/>
        <v>109960655.8596182</v>
      </c>
      <c r="S198" s="61">
        <v>8644362.8635200001</v>
      </c>
      <c r="T198" s="61">
        <v>1064545.7382799999</v>
      </c>
      <c r="U198" s="61">
        <v>1064545.7382799999</v>
      </c>
      <c r="V198" s="61">
        <v>0</v>
      </c>
      <c r="W198" s="61">
        <v>1064545.7382800002</v>
      </c>
      <c r="X198" s="61">
        <v>0</v>
      </c>
      <c r="Y198" s="61">
        <v>0</v>
      </c>
      <c r="Z198" s="61">
        <v>0</v>
      </c>
      <c r="AA198" s="61">
        <v>7579817.12524</v>
      </c>
      <c r="AB198" s="61">
        <v>2800775.12524</v>
      </c>
      <c r="AC198" s="61">
        <v>4779042</v>
      </c>
      <c r="AD198" s="61">
        <v>24689156.150079999</v>
      </c>
      <c r="AE198" s="61">
        <v>39895038.391609997</v>
      </c>
      <c r="AF198" s="61">
        <v>28838956.279679991</v>
      </c>
      <c r="AG198" s="61">
        <v>1357817.0161700002</v>
      </c>
      <c r="AH198" s="61">
        <v>1085611.9453400001</v>
      </c>
      <c r="AI198" s="61">
        <v>0</v>
      </c>
      <c r="AJ198" s="61">
        <v>1085611.9453400001</v>
      </c>
      <c r="AK198" s="61">
        <v>0</v>
      </c>
      <c r="AL198" s="61">
        <v>272205.07082999998</v>
      </c>
      <c r="AM198" s="61">
        <v>0</v>
      </c>
      <c r="AN198" s="61">
        <v>684501.55062999995</v>
      </c>
      <c r="AO198" s="64"/>
      <c r="AP198" s="61">
        <v>0</v>
      </c>
      <c r="AQ198" s="61">
        <v>26796637.712879993</v>
      </c>
      <c r="AR198" s="61">
        <v>11056082.11193</v>
      </c>
      <c r="AS198" s="61">
        <v>11056082.11193</v>
      </c>
      <c r="AT198" s="61">
        <v>9168229.1119299997</v>
      </c>
      <c r="AU198" s="61">
        <v>1887853</v>
      </c>
      <c r="AV198" s="61">
        <v>0</v>
      </c>
      <c r="AW198" s="65">
        <v>0.999</v>
      </c>
      <c r="AX198">
        <f t="shared" si="39"/>
        <v>99900000</v>
      </c>
      <c r="AY198" s="78">
        <f t="shared" si="37"/>
        <v>0.999</v>
      </c>
    </row>
    <row r="199" spans="1:51" x14ac:dyDescent="0.25">
      <c r="A199" s="57"/>
      <c r="B199" s="56" t="s">
        <v>102</v>
      </c>
      <c r="C199" s="57">
        <v>1995.12</v>
      </c>
      <c r="D199" s="54" t="s">
        <v>112</v>
      </c>
      <c r="E199" s="54">
        <v>1000</v>
      </c>
      <c r="F199" s="63">
        <v>1</v>
      </c>
      <c r="G199" s="61">
        <v>9953804</v>
      </c>
      <c r="H199" s="61">
        <f t="shared" si="27"/>
        <v>9953804000</v>
      </c>
      <c r="I199" s="146">
        <f t="shared" si="28"/>
        <v>0.999</v>
      </c>
      <c r="J199" s="61">
        <f t="shared" si="29"/>
        <v>9963767767.767767</v>
      </c>
      <c r="K199" s="61">
        <f t="shared" si="30"/>
        <v>8499183000</v>
      </c>
      <c r="L199" s="61">
        <f t="shared" si="31"/>
        <v>24132702000</v>
      </c>
      <c r="M199" s="61">
        <f t="shared" si="32"/>
        <v>13050012000</v>
      </c>
      <c r="N199" s="86">
        <v>100.6477</v>
      </c>
      <c r="O199" s="80">
        <f t="shared" si="33"/>
        <v>9.925711168759942E-3</v>
      </c>
      <c r="P199" s="61">
        <f t="shared" si="34"/>
        <v>84444880.508943573</v>
      </c>
      <c r="Q199" s="61">
        <f t="shared" si="35"/>
        <v>239774003.77753291</v>
      </c>
      <c r="R199" s="61">
        <f t="shared" si="36"/>
        <v>129660310.17102228</v>
      </c>
      <c r="S199" s="61">
        <v>8499183</v>
      </c>
      <c r="T199" s="61">
        <v>1009768</v>
      </c>
      <c r="U199" s="61">
        <v>1009768</v>
      </c>
      <c r="V199" s="61">
        <v>0</v>
      </c>
      <c r="W199" s="61">
        <v>1009768</v>
      </c>
      <c r="X199" s="61">
        <v>0</v>
      </c>
      <c r="Y199" s="61">
        <v>0</v>
      </c>
      <c r="Z199" s="61">
        <v>0</v>
      </c>
      <c r="AA199" s="61">
        <v>7489415</v>
      </c>
      <c r="AB199" s="61">
        <v>2328466</v>
      </c>
      <c r="AC199" s="61">
        <v>5160949</v>
      </c>
      <c r="AD199" s="61">
        <v>24132702</v>
      </c>
      <c r="AE199" s="61">
        <v>42585689</v>
      </c>
      <c r="AF199" s="61">
        <v>29535677</v>
      </c>
      <c r="AG199" s="61">
        <v>2491461</v>
      </c>
      <c r="AH199" s="61">
        <v>1677064</v>
      </c>
      <c r="AI199" s="61">
        <v>0</v>
      </c>
      <c r="AJ199" s="61">
        <v>1677064</v>
      </c>
      <c r="AK199" s="61">
        <v>0</v>
      </c>
      <c r="AL199" s="61">
        <v>814397</v>
      </c>
      <c r="AM199" s="61">
        <v>0</v>
      </c>
      <c r="AN199" s="61">
        <v>718617</v>
      </c>
      <c r="AO199" s="64"/>
      <c r="AP199" s="61">
        <v>0</v>
      </c>
      <c r="AQ199" s="61">
        <v>26325599</v>
      </c>
      <c r="AR199" s="61">
        <v>13050012</v>
      </c>
      <c r="AS199" s="61">
        <v>13050012</v>
      </c>
      <c r="AT199" s="61">
        <v>11153933</v>
      </c>
      <c r="AU199" s="61">
        <v>1896079</v>
      </c>
      <c r="AV199" s="61">
        <v>0</v>
      </c>
      <c r="AW199" s="65">
        <v>0.999</v>
      </c>
      <c r="AX199">
        <f t="shared" si="39"/>
        <v>99900000</v>
      </c>
      <c r="AY199" s="78">
        <f t="shared" si="37"/>
        <v>0.999</v>
      </c>
    </row>
    <row r="200" spans="1:51" x14ac:dyDescent="0.25">
      <c r="A200" s="62">
        <v>1996.01</v>
      </c>
      <c r="B200" s="56" t="s">
        <v>108</v>
      </c>
      <c r="C200" s="57">
        <v>1996.01</v>
      </c>
      <c r="D200" s="54" t="s">
        <v>112</v>
      </c>
      <c r="E200" s="54">
        <v>1000</v>
      </c>
      <c r="F200" s="63">
        <v>1</v>
      </c>
      <c r="G200" s="61">
        <v>8774727.5625899993</v>
      </c>
      <c r="H200" s="61">
        <f t="shared" si="27"/>
        <v>8774727562.5900002</v>
      </c>
      <c r="I200" s="146">
        <f t="shared" si="28"/>
        <v>0.999</v>
      </c>
      <c r="J200" s="61">
        <f t="shared" si="29"/>
        <v>8783511073.6636639</v>
      </c>
      <c r="K200" s="61">
        <f t="shared" si="30"/>
        <v>7985294550.460001</v>
      </c>
      <c r="L200" s="61">
        <f t="shared" si="31"/>
        <v>24595357605.66</v>
      </c>
      <c r="M200" s="61">
        <f t="shared" si="32"/>
        <v>12208745516.32</v>
      </c>
      <c r="N200" s="86">
        <v>100.9494</v>
      </c>
      <c r="O200" s="80">
        <f t="shared" si="33"/>
        <v>9.8960469304423797E-3</v>
      </c>
      <c r="P200" s="61">
        <f t="shared" si="34"/>
        <v>79101951.576334298</v>
      </c>
      <c r="Q200" s="61">
        <f t="shared" si="35"/>
        <v>243640453.59021452</v>
      </c>
      <c r="R200" s="61">
        <f t="shared" si="36"/>
        <v>120939257.84917989</v>
      </c>
      <c r="S200" s="61">
        <v>7985294.5504600015</v>
      </c>
      <c r="T200" s="61">
        <v>947368.87886000052</v>
      </c>
      <c r="U200" s="61">
        <v>947368.87886000052</v>
      </c>
      <c r="V200" s="61">
        <v>0</v>
      </c>
      <c r="W200" s="61">
        <v>947368.87886000052</v>
      </c>
      <c r="X200" s="61">
        <v>0</v>
      </c>
      <c r="Y200" s="61">
        <v>0</v>
      </c>
      <c r="Z200" s="61">
        <v>0</v>
      </c>
      <c r="AA200" s="61">
        <v>7037925.6716000009</v>
      </c>
      <c r="AB200" s="61">
        <v>1997799.1516700001</v>
      </c>
      <c r="AC200" s="61">
        <v>5040126.5199300004</v>
      </c>
      <c r="AD200" s="61">
        <v>24595357.605659999</v>
      </c>
      <c r="AE200" s="61">
        <v>41355379.718709998</v>
      </c>
      <c r="AF200" s="61">
        <v>29146634.20239</v>
      </c>
      <c r="AG200" s="61">
        <v>1291964.5175000001</v>
      </c>
      <c r="AH200" s="61">
        <v>1019261.82679</v>
      </c>
      <c r="AI200" s="61">
        <v>0</v>
      </c>
      <c r="AJ200" s="61">
        <v>1019261.82679</v>
      </c>
      <c r="AK200" s="61">
        <v>0</v>
      </c>
      <c r="AL200" s="61">
        <v>272702.69071</v>
      </c>
      <c r="AM200" s="61">
        <v>0</v>
      </c>
      <c r="AN200" s="61">
        <v>663153.49193000002</v>
      </c>
      <c r="AO200" s="64"/>
      <c r="AP200" s="61">
        <v>0</v>
      </c>
      <c r="AQ200" s="61">
        <v>27191516.192960002</v>
      </c>
      <c r="AR200" s="61">
        <v>12208745.516319999</v>
      </c>
      <c r="AS200" s="61">
        <v>12208745.516319999</v>
      </c>
      <c r="AT200" s="61">
        <v>10066199.516319999</v>
      </c>
      <c r="AU200" s="61">
        <v>2142546</v>
      </c>
      <c r="AV200" s="61">
        <v>0</v>
      </c>
      <c r="AW200" s="65">
        <v>0.999</v>
      </c>
      <c r="AX200">
        <f t="shared" si="39"/>
        <v>99900000</v>
      </c>
      <c r="AY200" s="78">
        <f t="shared" si="37"/>
        <v>0.999</v>
      </c>
    </row>
    <row r="201" spans="1:51" x14ac:dyDescent="0.25">
      <c r="A201" s="57"/>
      <c r="B201" s="56" t="s">
        <v>104</v>
      </c>
      <c r="C201" s="57">
        <v>1996.02</v>
      </c>
      <c r="D201" s="54" t="s">
        <v>112</v>
      </c>
      <c r="E201" s="54">
        <v>1000</v>
      </c>
      <c r="F201" s="63">
        <v>1</v>
      </c>
      <c r="G201" s="61">
        <v>9655007.1862100009</v>
      </c>
      <c r="H201" s="61">
        <f t="shared" ref="H201:H259" si="40">+G201*E201*F201</f>
        <v>9655007186.210001</v>
      </c>
      <c r="I201" s="146">
        <f t="shared" ref="I201:I259" si="41">+AY201</f>
        <v>0.999</v>
      </c>
      <c r="J201" s="61">
        <f t="shared" ref="J201:J259" si="42">+H201/I201</f>
        <v>9664671858.0680695</v>
      </c>
      <c r="K201" s="61">
        <f t="shared" ref="K201:K259" si="43">+S201*E201*F201</f>
        <v>7966941177.6700001</v>
      </c>
      <c r="L201" s="61">
        <f t="shared" ref="L201:L259" si="44">+AD201*E201*F201</f>
        <v>24556374922.880001</v>
      </c>
      <c r="M201" s="61">
        <f t="shared" ref="M201:M259" si="45">+AR201*E201*F201</f>
        <v>12093646780.990002</v>
      </c>
      <c r="N201" s="86">
        <v>100.62139999999999</v>
      </c>
      <c r="O201" s="80">
        <f t="shared" ref="O201:O259" si="46">+I201/N201</f>
        <v>9.928305509563572E-3</v>
      </c>
      <c r="P201" s="61">
        <f t="shared" ref="P201:P259" si="47">+K201/$N201</f>
        <v>79177403.392021984</v>
      </c>
      <c r="Q201" s="61">
        <f t="shared" ref="Q201:Q259" si="48">+L201/$N201</f>
        <v>244047239.68141967</v>
      </c>
      <c r="R201" s="61">
        <f t="shared" ref="R201:R259" si="49">+M201/$N201</f>
        <v>120189609.57599479</v>
      </c>
      <c r="S201" s="61">
        <v>7966941.1776700001</v>
      </c>
      <c r="T201" s="61">
        <v>987037.70527000027</v>
      </c>
      <c r="U201" s="61">
        <v>987037.70527000027</v>
      </c>
      <c r="V201" s="61">
        <v>0</v>
      </c>
      <c r="W201" s="61">
        <v>987037.7052699998</v>
      </c>
      <c r="X201" s="61">
        <v>0</v>
      </c>
      <c r="Y201" s="61">
        <v>0</v>
      </c>
      <c r="Z201" s="61">
        <v>0</v>
      </c>
      <c r="AA201" s="61">
        <v>6979903.4724000003</v>
      </c>
      <c r="AB201" s="61">
        <v>1864228.3483700003</v>
      </c>
      <c r="AC201" s="61">
        <v>5115675.1240299996</v>
      </c>
      <c r="AD201" s="61">
        <v>24556374.922880001</v>
      </c>
      <c r="AE201" s="61">
        <v>42178323.286760002</v>
      </c>
      <c r="AF201" s="61">
        <v>30084676.505770005</v>
      </c>
      <c r="AG201" s="61">
        <v>2211133.4220700003</v>
      </c>
      <c r="AH201" s="61">
        <v>1930396.0948000001</v>
      </c>
      <c r="AI201" s="61">
        <v>0</v>
      </c>
      <c r="AJ201" s="61">
        <v>1930396.0948000001</v>
      </c>
      <c r="AK201" s="61">
        <v>0</v>
      </c>
      <c r="AL201" s="61">
        <v>280737.32727000001</v>
      </c>
      <c r="AM201" s="61">
        <v>0</v>
      </c>
      <c r="AN201" s="61">
        <v>646136.60877000005</v>
      </c>
      <c r="AO201" s="64"/>
      <c r="AP201" s="61">
        <v>0</v>
      </c>
      <c r="AQ201" s="61">
        <v>27227406.474930007</v>
      </c>
      <c r="AR201" s="61">
        <v>12093646.780990001</v>
      </c>
      <c r="AS201" s="61">
        <v>12093646.780990001</v>
      </c>
      <c r="AT201" s="61">
        <v>10042993.780990001</v>
      </c>
      <c r="AU201" s="61">
        <v>2050653</v>
      </c>
      <c r="AV201" s="61">
        <v>0</v>
      </c>
      <c r="AW201" s="65">
        <v>0.999</v>
      </c>
      <c r="AX201">
        <f t="shared" si="39"/>
        <v>99900000</v>
      </c>
      <c r="AY201" s="78">
        <f t="shared" ref="AY201:AY259" si="50">+AX201/100000000</f>
        <v>0.999</v>
      </c>
    </row>
    <row r="202" spans="1:51" x14ac:dyDescent="0.25">
      <c r="A202" s="57"/>
      <c r="B202" s="56" t="s">
        <v>105</v>
      </c>
      <c r="C202" s="57">
        <v>1996.03</v>
      </c>
      <c r="D202" s="54" t="s">
        <v>112</v>
      </c>
      <c r="E202" s="54">
        <v>1000</v>
      </c>
      <c r="F202" s="63">
        <v>1</v>
      </c>
      <c r="G202" s="61">
        <v>9249980</v>
      </c>
      <c r="H202" s="61">
        <f t="shared" si="40"/>
        <v>9249980000</v>
      </c>
      <c r="I202" s="146">
        <f t="shared" si="41"/>
        <v>0.999</v>
      </c>
      <c r="J202" s="61">
        <f t="shared" si="42"/>
        <v>9259239239.2392387</v>
      </c>
      <c r="K202" s="61">
        <f t="shared" si="43"/>
        <v>8558739000</v>
      </c>
      <c r="L202" s="61">
        <f t="shared" si="44"/>
        <v>24499997000</v>
      </c>
      <c r="M202" s="61">
        <f t="shared" si="45"/>
        <v>11959578000</v>
      </c>
      <c r="N202" s="86">
        <v>100.07850000000001</v>
      </c>
      <c r="O202" s="80">
        <f t="shared" si="46"/>
        <v>9.982164001259012E-3</v>
      </c>
      <c r="P202" s="61">
        <f t="shared" si="47"/>
        <v>85520256.598570123</v>
      </c>
      <c r="Q202" s="61">
        <f t="shared" si="48"/>
        <v>244807795.880234</v>
      </c>
      <c r="R202" s="61">
        <f t="shared" si="49"/>
        <v>119501970.95280205</v>
      </c>
      <c r="S202" s="61">
        <v>8558739</v>
      </c>
      <c r="T202" s="61">
        <v>1038608</v>
      </c>
      <c r="U202" s="61">
        <v>1038608</v>
      </c>
      <c r="V202" s="61">
        <v>0</v>
      </c>
      <c r="W202" s="61">
        <v>1038608</v>
      </c>
      <c r="X202" s="61">
        <v>0</v>
      </c>
      <c r="Y202" s="61">
        <v>0</v>
      </c>
      <c r="Z202" s="61">
        <v>0</v>
      </c>
      <c r="AA202" s="61">
        <v>7520131</v>
      </c>
      <c r="AB202" s="61">
        <v>2043966</v>
      </c>
      <c r="AC202" s="61">
        <v>5476165</v>
      </c>
      <c r="AD202" s="61">
        <v>24499997</v>
      </c>
      <c r="AE202" s="61">
        <v>42308716</v>
      </c>
      <c r="AF202" s="61">
        <v>30349138</v>
      </c>
      <c r="AG202" s="61">
        <v>2338746</v>
      </c>
      <c r="AH202" s="61">
        <v>2080725</v>
      </c>
      <c r="AI202" s="61">
        <v>0</v>
      </c>
      <c r="AJ202" s="61">
        <v>2080725</v>
      </c>
      <c r="AK202" s="61">
        <v>0</v>
      </c>
      <c r="AL202" s="61">
        <v>258021</v>
      </c>
      <c r="AM202" s="61">
        <v>0</v>
      </c>
      <c r="AN202" s="61">
        <v>643714</v>
      </c>
      <c r="AO202" s="64"/>
      <c r="AP202" s="61">
        <v>0</v>
      </c>
      <c r="AQ202" s="61">
        <v>27366678</v>
      </c>
      <c r="AR202" s="61">
        <v>11959578</v>
      </c>
      <c r="AS202" s="61">
        <v>11959578</v>
      </c>
      <c r="AT202" s="61">
        <v>10099526</v>
      </c>
      <c r="AU202" s="61">
        <v>1860052</v>
      </c>
      <c r="AV202" s="61">
        <v>0</v>
      </c>
      <c r="AW202" s="65">
        <v>0.999</v>
      </c>
      <c r="AX202">
        <f t="shared" si="39"/>
        <v>99900000</v>
      </c>
      <c r="AY202" s="78">
        <f t="shared" si="50"/>
        <v>0.999</v>
      </c>
    </row>
    <row r="203" spans="1:51" x14ac:dyDescent="0.25">
      <c r="A203" s="57"/>
      <c r="B203" s="56" t="s">
        <v>106</v>
      </c>
      <c r="C203" s="57">
        <v>1996.04</v>
      </c>
      <c r="D203" s="54" t="s">
        <v>112</v>
      </c>
      <c r="E203" s="54">
        <v>1000</v>
      </c>
      <c r="F203" s="63">
        <v>1</v>
      </c>
      <c r="G203" s="61">
        <v>8400952</v>
      </c>
      <c r="H203" s="61">
        <f t="shared" si="40"/>
        <v>8400952000</v>
      </c>
      <c r="I203" s="146">
        <f t="shared" si="41"/>
        <v>0.999</v>
      </c>
      <c r="J203" s="61">
        <f t="shared" si="42"/>
        <v>8409361361.3613615</v>
      </c>
      <c r="K203" s="61">
        <f t="shared" si="43"/>
        <v>8354441000</v>
      </c>
      <c r="L203" s="61">
        <f t="shared" si="44"/>
        <v>24447542000</v>
      </c>
      <c r="M203" s="61">
        <f t="shared" si="45"/>
        <v>12043003000</v>
      </c>
      <c r="N203" s="86">
        <v>100.0801</v>
      </c>
      <c r="O203" s="80">
        <f t="shared" si="46"/>
        <v>9.9820044144640144E-3</v>
      </c>
      <c r="P203" s="61">
        <f t="shared" si="47"/>
        <v>83477544.486866012</v>
      </c>
      <c r="Q203" s="61">
        <f t="shared" si="48"/>
        <v>244279751.91871309</v>
      </c>
      <c r="R203" s="61">
        <f t="shared" si="49"/>
        <v>120333642.75215553</v>
      </c>
      <c r="S203" s="61">
        <v>8354441</v>
      </c>
      <c r="T203" s="61">
        <v>1048225</v>
      </c>
      <c r="U203" s="61">
        <v>1048225</v>
      </c>
      <c r="V203" s="61">
        <v>0</v>
      </c>
      <c r="W203" s="61">
        <v>1048225</v>
      </c>
      <c r="X203" s="61">
        <v>0</v>
      </c>
      <c r="Y203" s="61">
        <v>0</v>
      </c>
      <c r="Z203" s="61">
        <v>0</v>
      </c>
      <c r="AA203" s="61">
        <v>7306216</v>
      </c>
      <c r="AB203" s="61">
        <v>1787162</v>
      </c>
      <c r="AC203" s="61">
        <v>5519054</v>
      </c>
      <c r="AD203" s="61">
        <v>24447542</v>
      </c>
      <c r="AE203" s="61">
        <v>41202935</v>
      </c>
      <c r="AF203" s="61">
        <v>29159932</v>
      </c>
      <c r="AG203" s="61">
        <v>1352283</v>
      </c>
      <c r="AH203" s="61">
        <v>1157860</v>
      </c>
      <c r="AI203" s="61">
        <v>0</v>
      </c>
      <c r="AJ203" s="61">
        <v>1157860</v>
      </c>
      <c r="AK203" s="61">
        <v>0</v>
      </c>
      <c r="AL203" s="61">
        <v>194423</v>
      </c>
      <c r="AM203" s="61">
        <v>0</v>
      </c>
      <c r="AN203" s="61">
        <v>644886</v>
      </c>
      <c r="AO203" s="64"/>
      <c r="AP203" s="61">
        <v>0</v>
      </c>
      <c r="AQ203" s="61">
        <v>27162763</v>
      </c>
      <c r="AR203" s="61">
        <v>12043003</v>
      </c>
      <c r="AS203" s="61">
        <v>12043003</v>
      </c>
      <c r="AT203" s="61">
        <v>10031551</v>
      </c>
      <c r="AU203" s="61">
        <v>2011452</v>
      </c>
      <c r="AV203" s="61">
        <v>0</v>
      </c>
      <c r="AW203" s="65">
        <v>0.999</v>
      </c>
      <c r="AX203">
        <f t="shared" si="39"/>
        <v>99900000</v>
      </c>
      <c r="AY203" s="78">
        <f t="shared" si="50"/>
        <v>0.999</v>
      </c>
    </row>
    <row r="204" spans="1:51" x14ac:dyDescent="0.25">
      <c r="A204" s="57"/>
      <c r="B204" s="56" t="s">
        <v>107</v>
      </c>
      <c r="C204" s="57">
        <v>1996.05</v>
      </c>
      <c r="D204" s="54" t="s">
        <v>112</v>
      </c>
      <c r="E204" s="54">
        <v>1000</v>
      </c>
      <c r="F204" s="63">
        <v>1</v>
      </c>
      <c r="G204" s="61">
        <v>8092962</v>
      </c>
      <c r="H204" s="61">
        <f t="shared" si="40"/>
        <v>8092962000</v>
      </c>
      <c r="I204" s="146">
        <f t="shared" si="41"/>
        <v>0.999</v>
      </c>
      <c r="J204" s="61">
        <f t="shared" si="42"/>
        <v>8101063063.0630627</v>
      </c>
      <c r="K204" s="61">
        <f t="shared" si="43"/>
        <v>8564527000</v>
      </c>
      <c r="L204" s="61">
        <f t="shared" si="44"/>
        <v>23779644000</v>
      </c>
      <c r="M204" s="61">
        <f t="shared" si="45"/>
        <v>12184489000</v>
      </c>
      <c r="N204" s="86">
        <v>99.990799999999993</v>
      </c>
      <c r="O204" s="80">
        <f t="shared" si="46"/>
        <v>9.99091916456314E-3</v>
      </c>
      <c r="P204" s="61">
        <f t="shared" si="47"/>
        <v>85653150.08980827</v>
      </c>
      <c r="Q204" s="61">
        <f t="shared" si="48"/>
        <v>237818319.28537428</v>
      </c>
      <c r="R204" s="61">
        <f t="shared" si="49"/>
        <v>121856100.76127005</v>
      </c>
      <c r="S204" s="61">
        <v>8564527</v>
      </c>
      <c r="T204" s="61">
        <v>996327</v>
      </c>
      <c r="U204" s="61">
        <v>996327</v>
      </c>
      <c r="V204" s="61">
        <v>0</v>
      </c>
      <c r="W204" s="61">
        <v>996327</v>
      </c>
      <c r="X204" s="61">
        <v>0</v>
      </c>
      <c r="Y204" s="61">
        <v>0</v>
      </c>
      <c r="Z204" s="61">
        <v>0</v>
      </c>
      <c r="AA204" s="61">
        <v>7568200</v>
      </c>
      <c r="AB204" s="61">
        <v>2079100</v>
      </c>
      <c r="AC204" s="61">
        <v>5489100</v>
      </c>
      <c r="AD204" s="61">
        <v>23779644</v>
      </c>
      <c r="AE204" s="61">
        <v>40437133</v>
      </c>
      <c r="AF204" s="61">
        <v>28252644</v>
      </c>
      <c r="AG204" s="61">
        <v>1184759</v>
      </c>
      <c r="AH204" s="61">
        <v>996919</v>
      </c>
      <c r="AI204" s="61">
        <v>0</v>
      </c>
      <c r="AJ204" s="61">
        <v>996919</v>
      </c>
      <c r="AK204" s="61">
        <v>0</v>
      </c>
      <c r="AL204" s="61">
        <v>187840</v>
      </c>
      <c r="AM204" s="61">
        <v>0</v>
      </c>
      <c r="AN204" s="61">
        <v>643578</v>
      </c>
      <c r="AO204" s="64"/>
      <c r="AP204" s="61">
        <v>0</v>
      </c>
      <c r="AQ204" s="61">
        <v>26424307</v>
      </c>
      <c r="AR204" s="61">
        <v>12184489</v>
      </c>
      <c r="AS204" s="61">
        <v>12184489</v>
      </c>
      <c r="AT204" s="61">
        <v>10294661</v>
      </c>
      <c r="AU204" s="61">
        <v>1889828</v>
      </c>
      <c r="AV204" s="61">
        <v>0</v>
      </c>
      <c r="AW204" s="65">
        <v>0.999</v>
      </c>
      <c r="AX204">
        <f t="shared" si="39"/>
        <v>99900000</v>
      </c>
      <c r="AY204" s="78">
        <f t="shared" si="50"/>
        <v>0.999</v>
      </c>
    </row>
    <row r="205" spans="1:51" x14ac:dyDescent="0.25">
      <c r="A205" s="57"/>
      <c r="B205" s="56" t="s">
        <v>96</v>
      </c>
      <c r="C205" s="57">
        <v>1996.06</v>
      </c>
      <c r="D205" s="54" t="s">
        <v>112</v>
      </c>
      <c r="E205" s="54">
        <v>1000</v>
      </c>
      <c r="F205" s="63">
        <v>1</v>
      </c>
      <c r="G205" s="61">
        <v>9857049</v>
      </c>
      <c r="H205" s="61">
        <f t="shared" si="40"/>
        <v>9857049000</v>
      </c>
      <c r="I205" s="146">
        <f t="shared" si="41"/>
        <v>0.999</v>
      </c>
      <c r="J205" s="61">
        <f t="shared" si="42"/>
        <v>9866915915.9159164</v>
      </c>
      <c r="K205" s="61">
        <f t="shared" si="43"/>
        <v>8532845000</v>
      </c>
      <c r="L205" s="61">
        <f t="shared" si="44"/>
        <v>23717547000</v>
      </c>
      <c r="M205" s="61">
        <f t="shared" si="45"/>
        <v>12804115000</v>
      </c>
      <c r="N205" s="86">
        <v>99.993399999999994</v>
      </c>
      <c r="O205" s="80">
        <f t="shared" si="46"/>
        <v>9.9906593835193125E-3</v>
      </c>
      <c r="P205" s="61">
        <f t="shared" si="47"/>
        <v>85334082.049415261</v>
      </c>
      <c r="Q205" s="61">
        <f t="shared" si="48"/>
        <v>237191124.61422455</v>
      </c>
      <c r="R205" s="61">
        <f t="shared" si="49"/>
        <v>128049601.27368407</v>
      </c>
      <c r="S205" s="61">
        <v>8532845</v>
      </c>
      <c r="T205" s="61">
        <v>1008127</v>
      </c>
      <c r="U205" s="61">
        <v>1008127</v>
      </c>
      <c r="V205" s="61">
        <v>0</v>
      </c>
      <c r="W205" s="61">
        <v>1008127</v>
      </c>
      <c r="X205" s="61">
        <v>0</v>
      </c>
      <c r="Y205" s="61">
        <v>0</v>
      </c>
      <c r="Z205" s="61">
        <v>0</v>
      </c>
      <c r="AA205" s="61">
        <v>7524718</v>
      </c>
      <c r="AB205" s="61">
        <v>2031241</v>
      </c>
      <c r="AC205" s="61">
        <v>5493477</v>
      </c>
      <c r="AD205" s="61">
        <v>23717547</v>
      </c>
      <c r="AE205" s="61">
        <v>42107441</v>
      </c>
      <c r="AF205" s="61">
        <v>29303326</v>
      </c>
      <c r="AG205" s="61">
        <v>2260084</v>
      </c>
      <c r="AH205" s="61">
        <v>1799353</v>
      </c>
      <c r="AI205" s="61">
        <v>0</v>
      </c>
      <c r="AJ205" s="61">
        <v>1799353</v>
      </c>
      <c r="AK205" s="61">
        <v>0</v>
      </c>
      <c r="AL205" s="61">
        <v>460731</v>
      </c>
      <c r="AM205" s="61">
        <v>0</v>
      </c>
      <c r="AN205" s="61">
        <v>637008</v>
      </c>
      <c r="AO205" s="64"/>
      <c r="AP205" s="61">
        <v>0</v>
      </c>
      <c r="AQ205" s="61">
        <v>26406234</v>
      </c>
      <c r="AR205" s="61">
        <v>12804115</v>
      </c>
      <c r="AS205" s="61">
        <v>12804115</v>
      </c>
      <c r="AT205" s="61">
        <v>10801333</v>
      </c>
      <c r="AU205" s="61">
        <v>2002782</v>
      </c>
      <c r="AV205" s="61">
        <v>0</v>
      </c>
      <c r="AW205" s="65">
        <v>0.999</v>
      </c>
      <c r="AX205">
        <f t="shared" si="39"/>
        <v>99900000</v>
      </c>
      <c r="AY205" s="78">
        <f t="shared" si="50"/>
        <v>0.999</v>
      </c>
    </row>
    <row r="206" spans="1:51" x14ac:dyDescent="0.25">
      <c r="A206" s="57"/>
      <c r="B206" s="56" t="s">
        <v>97</v>
      </c>
      <c r="C206" s="57">
        <v>1996.07</v>
      </c>
      <c r="D206" s="54" t="s">
        <v>112</v>
      </c>
      <c r="E206" s="54">
        <v>1000</v>
      </c>
      <c r="F206" s="63">
        <v>1</v>
      </c>
      <c r="G206" s="61">
        <v>8488783</v>
      </c>
      <c r="H206" s="61">
        <f t="shared" si="40"/>
        <v>8488783000</v>
      </c>
      <c r="I206" s="146">
        <f t="shared" si="41"/>
        <v>0.999</v>
      </c>
      <c r="J206" s="61">
        <f t="shared" si="42"/>
        <v>8497280280.2802801</v>
      </c>
      <c r="K206" s="61">
        <f t="shared" si="43"/>
        <v>8497025000</v>
      </c>
      <c r="L206" s="61">
        <f t="shared" si="44"/>
        <v>23701562000</v>
      </c>
      <c r="M206" s="61">
        <f t="shared" si="45"/>
        <v>13220074000</v>
      </c>
      <c r="N206" s="86">
        <v>100.5356</v>
      </c>
      <c r="O206" s="80">
        <f t="shared" si="46"/>
        <v>9.9367786137447827E-3</v>
      </c>
      <c r="P206" s="61">
        <f t="shared" si="47"/>
        <v>84517573.87432909</v>
      </c>
      <c r="Q206" s="61">
        <f t="shared" si="48"/>
        <v>235752927.32126728</v>
      </c>
      <c r="R206" s="61">
        <f t="shared" si="49"/>
        <v>131496445.0403638</v>
      </c>
      <c r="S206" s="61">
        <v>8497025</v>
      </c>
      <c r="T206" s="61">
        <v>1010092</v>
      </c>
      <c r="U206" s="61">
        <v>1010092</v>
      </c>
      <c r="V206" s="61">
        <v>0</v>
      </c>
      <c r="W206" s="61">
        <v>1010092</v>
      </c>
      <c r="X206" s="61">
        <v>0</v>
      </c>
      <c r="Y206" s="61">
        <v>0</v>
      </c>
      <c r="Z206" s="61">
        <v>0</v>
      </c>
      <c r="AA206" s="61">
        <v>7486933</v>
      </c>
      <c r="AB206" s="61">
        <v>1908961</v>
      </c>
      <c r="AC206" s="61">
        <v>5577972</v>
      </c>
      <c r="AD206" s="61">
        <v>23701562</v>
      </c>
      <c r="AE206" s="61">
        <v>40687370</v>
      </c>
      <c r="AF206" s="61">
        <v>27467296</v>
      </c>
      <c r="AG206" s="61">
        <v>949826</v>
      </c>
      <c r="AH206" s="61">
        <v>757534</v>
      </c>
      <c r="AI206" s="61">
        <v>0</v>
      </c>
      <c r="AJ206" s="61">
        <v>757534</v>
      </c>
      <c r="AK206" s="61">
        <v>0</v>
      </c>
      <c r="AL206" s="61">
        <v>192292</v>
      </c>
      <c r="AM206" s="61">
        <v>0</v>
      </c>
      <c r="AN206" s="61">
        <v>5735</v>
      </c>
      <c r="AO206" s="64"/>
      <c r="AP206" s="61">
        <v>0</v>
      </c>
      <c r="AQ206" s="61">
        <v>26511735</v>
      </c>
      <c r="AR206" s="61">
        <v>13220074</v>
      </c>
      <c r="AS206" s="61">
        <v>13220074</v>
      </c>
      <c r="AT206" s="61">
        <v>10940570</v>
      </c>
      <c r="AU206" s="61">
        <v>2279504</v>
      </c>
      <c r="AV206" s="61">
        <v>0</v>
      </c>
      <c r="AW206" s="65">
        <v>0.999</v>
      </c>
      <c r="AX206">
        <f t="shared" si="39"/>
        <v>99900000</v>
      </c>
      <c r="AY206" s="78">
        <f t="shared" si="50"/>
        <v>0.999</v>
      </c>
    </row>
    <row r="207" spans="1:51" x14ac:dyDescent="0.25">
      <c r="A207" s="57"/>
      <c r="B207" s="56" t="s">
        <v>98</v>
      </c>
      <c r="C207" s="57">
        <v>1996.08</v>
      </c>
      <c r="D207" s="54" t="s">
        <v>112</v>
      </c>
      <c r="E207" s="54">
        <v>1000</v>
      </c>
      <c r="F207" s="63">
        <v>1</v>
      </c>
      <c r="G207" s="61">
        <v>8091038</v>
      </c>
      <c r="H207" s="61">
        <f t="shared" si="40"/>
        <v>8091038000</v>
      </c>
      <c r="I207" s="146">
        <f t="shared" si="41"/>
        <v>0.999</v>
      </c>
      <c r="J207" s="61">
        <f t="shared" si="42"/>
        <v>8099137137.1371374</v>
      </c>
      <c r="K207" s="61">
        <f t="shared" si="43"/>
        <v>8077874000</v>
      </c>
      <c r="L207" s="61">
        <f t="shared" si="44"/>
        <v>23695594000</v>
      </c>
      <c r="M207" s="61">
        <f t="shared" si="45"/>
        <v>12379145000</v>
      </c>
      <c r="N207" s="86">
        <v>100.4577</v>
      </c>
      <c r="O207" s="80">
        <f t="shared" si="46"/>
        <v>9.9444840962912753E-3</v>
      </c>
      <c r="P207" s="61">
        <f t="shared" si="47"/>
        <v>80410700.225069851</v>
      </c>
      <c r="Q207" s="61">
        <f t="shared" si="48"/>
        <v>235876334.01919416</v>
      </c>
      <c r="R207" s="61">
        <f t="shared" si="49"/>
        <v>123227438.01619986</v>
      </c>
      <c r="S207" s="61">
        <v>8077874</v>
      </c>
      <c r="T207" s="61">
        <v>997166</v>
      </c>
      <c r="U207" s="61">
        <v>997166</v>
      </c>
      <c r="V207" s="61">
        <v>0</v>
      </c>
      <c r="W207" s="61">
        <v>997166</v>
      </c>
      <c r="X207" s="61">
        <v>0</v>
      </c>
      <c r="Y207" s="61">
        <v>0</v>
      </c>
      <c r="Z207" s="61">
        <v>0</v>
      </c>
      <c r="AA207" s="61">
        <v>7080708</v>
      </c>
      <c r="AB207" s="61">
        <v>1532728</v>
      </c>
      <c r="AC207" s="61">
        <v>5547980</v>
      </c>
      <c r="AD207" s="61">
        <v>23695594</v>
      </c>
      <c r="AE207" s="61">
        <v>39864506</v>
      </c>
      <c r="AF207" s="61">
        <v>27485361</v>
      </c>
      <c r="AG207" s="61">
        <v>856931</v>
      </c>
      <c r="AH207" s="61">
        <v>662761</v>
      </c>
      <c r="AI207" s="61">
        <v>0</v>
      </c>
      <c r="AJ207" s="61">
        <v>662761</v>
      </c>
      <c r="AK207" s="61">
        <v>0</v>
      </c>
      <c r="AL207" s="61">
        <v>194170</v>
      </c>
      <c r="AM207" s="61">
        <v>0</v>
      </c>
      <c r="AN207" s="61">
        <v>3759</v>
      </c>
      <c r="AO207" s="64"/>
      <c r="AP207" s="61">
        <v>0</v>
      </c>
      <c r="AQ207" s="61">
        <v>26624671</v>
      </c>
      <c r="AR207" s="61">
        <v>12379145</v>
      </c>
      <c r="AS207" s="61">
        <v>12379145</v>
      </c>
      <c r="AT207" s="61">
        <v>10419794</v>
      </c>
      <c r="AU207" s="61">
        <v>1959351</v>
      </c>
      <c r="AV207" s="61">
        <v>0</v>
      </c>
      <c r="AW207" s="65">
        <v>0.999</v>
      </c>
      <c r="AX207">
        <f t="shared" si="39"/>
        <v>99900000</v>
      </c>
      <c r="AY207" s="78">
        <f t="shared" si="50"/>
        <v>0.999</v>
      </c>
    </row>
    <row r="208" spans="1:51" x14ac:dyDescent="0.25">
      <c r="A208" s="57"/>
      <c r="B208" s="56" t="s">
        <v>99</v>
      </c>
      <c r="C208" s="57">
        <v>1996.09</v>
      </c>
      <c r="D208" s="54" t="s">
        <v>112</v>
      </c>
      <c r="E208" s="54">
        <v>1000</v>
      </c>
      <c r="F208" s="63">
        <v>1</v>
      </c>
      <c r="G208" s="61">
        <v>8385853</v>
      </c>
      <c r="H208" s="61">
        <f t="shared" si="40"/>
        <v>8385853000</v>
      </c>
      <c r="I208" s="146">
        <f t="shared" si="41"/>
        <v>0.999</v>
      </c>
      <c r="J208" s="61">
        <f t="shared" si="42"/>
        <v>8394247247.2472477</v>
      </c>
      <c r="K208" s="61">
        <f t="shared" si="43"/>
        <v>8488705000</v>
      </c>
      <c r="L208" s="61">
        <f t="shared" si="44"/>
        <v>23692414000</v>
      </c>
      <c r="M208" s="61">
        <f t="shared" si="45"/>
        <v>12221719000</v>
      </c>
      <c r="N208" s="86">
        <v>100.6401</v>
      </c>
      <c r="O208" s="80">
        <f t="shared" si="46"/>
        <v>9.9264607248999159E-3</v>
      </c>
      <c r="P208" s="61">
        <f t="shared" si="47"/>
        <v>84347143.931693226</v>
      </c>
      <c r="Q208" s="61">
        <f t="shared" si="48"/>
        <v>235417234.28335226</v>
      </c>
      <c r="R208" s="61">
        <f t="shared" si="49"/>
        <v>121439853.49776083</v>
      </c>
      <c r="S208" s="61">
        <v>8488705</v>
      </c>
      <c r="T208" s="61">
        <v>1161082</v>
      </c>
      <c r="U208" s="61">
        <v>1161082</v>
      </c>
      <c r="V208" s="61">
        <v>0</v>
      </c>
      <c r="W208" s="61">
        <v>1161082</v>
      </c>
      <c r="X208" s="61">
        <v>0</v>
      </c>
      <c r="Y208" s="61">
        <v>0</v>
      </c>
      <c r="Z208" s="61">
        <v>0</v>
      </c>
      <c r="AA208" s="61">
        <v>7327623</v>
      </c>
      <c r="AB208" s="61">
        <v>1849256</v>
      </c>
      <c r="AC208" s="61">
        <v>5478367</v>
      </c>
      <c r="AD208" s="61">
        <v>23692414</v>
      </c>
      <c r="AE208" s="61">
        <v>40566972</v>
      </c>
      <c r="AF208" s="61">
        <v>28345253</v>
      </c>
      <c r="AG208" s="61">
        <v>1735403</v>
      </c>
      <c r="AH208" s="61">
        <v>1479731</v>
      </c>
      <c r="AI208" s="61">
        <v>0</v>
      </c>
      <c r="AJ208" s="61">
        <v>1479731</v>
      </c>
      <c r="AK208" s="61">
        <v>0</v>
      </c>
      <c r="AL208" s="61">
        <v>255672</v>
      </c>
      <c r="AM208" s="61">
        <v>0</v>
      </c>
      <c r="AN208" s="61">
        <v>1378</v>
      </c>
      <c r="AO208" s="64"/>
      <c r="AP208" s="61">
        <v>0</v>
      </c>
      <c r="AQ208" s="61">
        <v>26608472</v>
      </c>
      <c r="AR208" s="61">
        <v>12221719</v>
      </c>
      <c r="AS208" s="61">
        <v>12221719</v>
      </c>
      <c r="AT208" s="61">
        <v>10045513</v>
      </c>
      <c r="AU208" s="61">
        <v>2176206</v>
      </c>
      <c r="AV208" s="61">
        <v>0</v>
      </c>
      <c r="AW208" s="65">
        <v>0.999</v>
      </c>
      <c r="AX208">
        <f t="shared" si="39"/>
        <v>99900000</v>
      </c>
      <c r="AY208" s="78">
        <f t="shared" si="50"/>
        <v>0.999</v>
      </c>
    </row>
    <row r="209" spans="1:51" x14ac:dyDescent="0.25">
      <c r="A209" s="57"/>
      <c r="B209" s="56" t="s">
        <v>100</v>
      </c>
      <c r="C209" s="57">
        <v>1996.1</v>
      </c>
      <c r="D209" s="54" t="s">
        <v>112</v>
      </c>
      <c r="E209" s="54">
        <v>1000</v>
      </c>
      <c r="F209" s="63">
        <v>1</v>
      </c>
      <c r="G209" s="61">
        <v>7550492</v>
      </c>
      <c r="H209" s="61">
        <f t="shared" si="40"/>
        <v>7550492000</v>
      </c>
      <c r="I209" s="146">
        <f t="shared" si="41"/>
        <v>0.999</v>
      </c>
      <c r="J209" s="61">
        <f t="shared" si="42"/>
        <v>7558050050.0500498</v>
      </c>
      <c r="K209" s="61">
        <f t="shared" si="43"/>
        <v>8251039000</v>
      </c>
      <c r="L209" s="61">
        <f t="shared" si="44"/>
        <v>23666644000</v>
      </c>
      <c r="M209" s="61">
        <f t="shared" si="45"/>
        <v>11881123000</v>
      </c>
      <c r="N209" s="86">
        <v>101.1474</v>
      </c>
      <c r="O209" s="80">
        <f t="shared" si="46"/>
        <v>9.8766750306977739E-3</v>
      </c>
      <c r="P209" s="61">
        <f t="shared" si="47"/>
        <v>81574405.273887411</v>
      </c>
      <c r="Q209" s="61">
        <f t="shared" si="48"/>
        <v>233981733.58880207</v>
      </c>
      <c r="R209" s="61">
        <f t="shared" si="49"/>
        <v>117463454.32507409</v>
      </c>
      <c r="S209" s="61">
        <v>8251039</v>
      </c>
      <c r="T209" s="61">
        <v>988503</v>
      </c>
      <c r="U209" s="61">
        <v>988503</v>
      </c>
      <c r="V209" s="61">
        <v>0</v>
      </c>
      <c r="W209" s="61">
        <v>988503</v>
      </c>
      <c r="X209" s="61">
        <v>0</v>
      </c>
      <c r="Y209" s="61">
        <v>0</v>
      </c>
      <c r="Z209" s="61">
        <v>0</v>
      </c>
      <c r="AA209" s="61">
        <v>7262536</v>
      </c>
      <c r="AB209" s="61">
        <v>1772314</v>
      </c>
      <c r="AC209" s="61">
        <v>5490222</v>
      </c>
      <c r="AD209" s="61">
        <v>23666644</v>
      </c>
      <c r="AE209" s="61">
        <v>39468175</v>
      </c>
      <c r="AF209" s="61">
        <v>27587052</v>
      </c>
      <c r="AG209" s="61">
        <v>837342</v>
      </c>
      <c r="AH209" s="61">
        <v>644897</v>
      </c>
      <c r="AI209" s="61">
        <v>0</v>
      </c>
      <c r="AJ209" s="61">
        <v>644897</v>
      </c>
      <c r="AK209" s="61">
        <v>0</v>
      </c>
      <c r="AL209" s="61">
        <v>192445</v>
      </c>
      <c r="AM209" s="61">
        <v>0</v>
      </c>
      <c r="AN209" s="61">
        <v>1270</v>
      </c>
      <c r="AO209" s="64"/>
      <c r="AP209" s="61">
        <v>0</v>
      </c>
      <c r="AQ209" s="61">
        <v>26748440</v>
      </c>
      <c r="AR209" s="61">
        <v>11881123</v>
      </c>
      <c r="AS209" s="61">
        <v>11881123</v>
      </c>
      <c r="AT209" s="61">
        <v>9883926</v>
      </c>
      <c r="AU209" s="61">
        <v>1997197</v>
      </c>
      <c r="AV209" s="61">
        <v>0</v>
      </c>
      <c r="AW209" s="65">
        <v>0.999</v>
      </c>
      <c r="AX209">
        <f t="shared" si="39"/>
        <v>99900000</v>
      </c>
      <c r="AY209" s="78">
        <f t="shared" si="50"/>
        <v>0.999</v>
      </c>
    </row>
    <row r="210" spans="1:51" x14ac:dyDescent="0.25">
      <c r="A210" s="57"/>
      <c r="B210" s="56" t="s">
        <v>101</v>
      </c>
      <c r="C210" s="57">
        <v>1996.11</v>
      </c>
      <c r="D210" s="54" t="s">
        <v>112</v>
      </c>
      <c r="E210" s="54">
        <v>1000</v>
      </c>
      <c r="F210" s="63">
        <v>1</v>
      </c>
      <c r="G210" s="61">
        <v>7826008</v>
      </c>
      <c r="H210" s="61">
        <f t="shared" si="40"/>
        <v>7826008000</v>
      </c>
      <c r="I210" s="146">
        <f t="shared" si="41"/>
        <v>0.999</v>
      </c>
      <c r="J210" s="61">
        <f t="shared" si="42"/>
        <v>7833841841.8418417</v>
      </c>
      <c r="K210" s="61">
        <f t="shared" si="43"/>
        <v>8287541000</v>
      </c>
      <c r="L210" s="61">
        <f t="shared" si="44"/>
        <v>23645003000</v>
      </c>
      <c r="M210" s="61">
        <f t="shared" si="45"/>
        <v>12061468000</v>
      </c>
      <c r="N210" s="86">
        <v>100.9903</v>
      </c>
      <c r="O210" s="80">
        <f t="shared" si="46"/>
        <v>9.8920391364319144E-3</v>
      </c>
      <c r="P210" s="61">
        <f t="shared" si="47"/>
        <v>82062742.659443527</v>
      </c>
      <c r="Q210" s="61">
        <f t="shared" si="48"/>
        <v>234131426.48353356</v>
      </c>
      <c r="R210" s="61">
        <f t="shared" si="49"/>
        <v>119431945.44426544</v>
      </c>
      <c r="S210" s="61">
        <v>8287541</v>
      </c>
      <c r="T210" s="61">
        <v>1010150</v>
      </c>
      <c r="U210" s="61">
        <v>1010150</v>
      </c>
      <c r="V210" s="61">
        <v>0</v>
      </c>
      <c r="W210" s="61">
        <v>1010150</v>
      </c>
      <c r="X210" s="61">
        <v>0</v>
      </c>
      <c r="Y210" s="61">
        <v>0</v>
      </c>
      <c r="Z210" s="61">
        <v>0</v>
      </c>
      <c r="AA210" s="61">
        <v>7277391</v>
      </c>
      <c r="AB210" s="61">
        <v>1625276</v>
      </c>
      <c r="AC210" s="61">
        <v>5652115</v>
      </c>
      <c r="AD210" s="61">
        <v>23645003</v>
      </c>
      <c r="AE210" s="61">
        <v>39758552</v>
      </c>
      <c r="AF210" s="61">
        <v>27697084</v>
      </c>
      <c r="AG210" s="61">
        <v>799908</v>
      </c>
      <c r="AH210" s="61">
        <v>600463</v>
      </c>
      <c r="AI210" s="61">
        <v>0</v>
      </c>
      <c r="AJ210" s="61">
        <v>600463</v>
      </c>
      <c r="AK210" s="61">
        <v>0</v>
      </c>
      <c r="AL210" s="61">
        <v>199445</v>
      </c>
      <c r="AM210" s="61">
        <v>0</v>
      </c>
      <c r="AN210" s="61">
        <v>1564</v>
      </c>
      <c r="AO210" s="64"/>
      <c r="AP210" s="61">
        <v>0</v>
      </c>
      <c r="AQ210" s="61">
        <v>26895612</v>
      </c>
      <c r="AR210" s="61">
        <v>12061468</v>
      </c>
      <c r="AS210" s="61">
        <v>12061468</v>
      </c>
      <c r="AT210" s="61">
        <v>10187857</v>
      </c>
      <c r="AU210" s="61">
        <v>1873611</v>
      </c>
      <c r="AV210" s="61">
        <v>0</v>
      </c>
      <c r="AW210" s="65">
        <v>0.999</v>
      </c>
      <c r="AX210">
        <f t="shared" si="39"/>
        <v>99900000</v>
      </c>
      <c r="AY210" s="78">
        <f t="shared" si="50"/>
        <v>0.999</v>
      </c>
    </row>
    <row r="211" spans="1:51" x14ac:dyDescent="0.25">
      <c r="A211" s="57"/>
      <c r="B211" s="56" t="s">
        <v>102</v>
      </c>
      <c r="C211" s="57">
        <v>1996.12</v>
      </c>
      <c r="D211" s="54" t="s">
        <v>112</v>
      </c>
      <c r="E211" s="54">
        <v>1000</v>
      </c>
      <c r="F211" s="63">
        <v>1</v>
      </c>
      <c r="G211" s="61">
        <v>11509472</v>
      </c>
      <c r="H211" s="61">
        <f t="shared" si="40"/>
        <v>11509472000</v>
      </c>
      <c r="I211" s="146">
        <f t="shared" si="41"/>
        <v>0.999</v>
      </c>
      <c r="J211" s="61">
        <f t="shared" si="42"/>
        <v>11520992992.992992</v>
      </c>
      <c r="K211" s="61">
        <f t="shared" si="43"/>
        <v>8222902000</v>
      </c>
      <c r="L211" s="61">
        <f t="shared" si="44"/>
        <v>2109549000</v>
      </c>
      <c r="M211" s="61">
        <f t="shared" si="45"/>
        <v>14030363000</v>
      </c>
      <c r="N211" s="86">
        <v>100.7024</v>
      </c>
      <c r="O211" s="80">
        <f t="shared" si="46"/>
        <v>9.9203196746055714E-3</v>
      </c>
      <c r="P211" s="61">
        <f t="shared" si="47"/>
        <v>81655471.96491842</v>
      </c>
      <c r="Q211" s="61">
        <f t="shared" si="48"/>
        <v>20948348.798042551</v>
      </c>
      <c r="R211" s="61">
        <f t="shared" si="49"/>
        <v>139325011.12187991</v>
      </c>
      <c r="S211" s="61">
        <v>8222902</v>
      </c>
      <c r="T211" s="61">
        <v>1273695</v>
      </c>
      <c r="U211" s="61">
        <v>1273695</v>
      </c>
      <c r="V211" s="61">
        <v>0</v>
      </c>
      <c r="W211" s="61">
        <v>1273695</v>
      </c>
      <c r="X211" s="61">
        <v>0</v>
      </c>
      <c r="Y211" s="61">
        <v>0</v>
      </c>
      <c r="Z211" s="61">
        <v>0</v>
      </c>
      <c r="AA211" s="61">
        <v>6949207</v>
      </c>
      <c r="AB211" s="61">
        <v>1182656</v>
      </c>
      <c r="AC211" s="61">
        <v>5766551</v>
      </c>
      <c r="AD211" s="61">
        <v>2109549</v>
      </c>
      <c r="AE211" s="61">
        <v>21841923</v>
      </c>
      <c r="AF211" s="61">
        <v>7811560</v>
      </c>
      <c r="AG211" s="61">
        <v>2325016</v>
      </c>
      <c r="AH211" s="61">
        <v>2241679</v>
      </c>
      <c r="AI211" s="61">
        <v>0</v>
      </c>
      <c r="AJ211" s="61">
        <v>2241679</v>
      </c>
      <c r="AK211" s="61">
        <v>0</v>
      </c>
      <c r="AL211" s="61">
        <v>83337</v>
      </c>
      <c r="AM211" s="61">
        <v>0</v>
      </c>
      <c r="AN211" s="61">
        <v>29168</v>
      </c>
      <c r="AO211" s="64"/>
      <c r="AP211" s="61">
        <v>0</v>
      </c>
      <c r="AQ211" s="61">
        <v>5457376</v>
      </c>
      <c r="AR211" s="61">
        <v>14030363</v>
      </c>
      <c r="AS211" s="61">
        <v>14030363</v>
      </c>
      <c r="AT211" s="61">
        <v>11729783</v>
      </c>
      <c r="AU211" s="61">
        <v>2300580</v>
      </c>
      <c r="AV211" s="61">
        <v>0</v>
      </c>
      <c r="AW211" s="65">
        <v>0.999</v>
      </c>
      <c r="AX211">
        <f t="shared" si="39"/>
        <v>99900000</v>
      </c>
      <c r="AY211" s="78">
        <f t="shared" si="50"/>
        <v>0.999</v>
      </c>
    </row>
    <row r="212" spans="1:51" x14ac:dyDescent="0.25">
      <c r="A212" s="62">
        <v>1997.01</v>
      </c>
      <c r="B212" s="56" t="s">
        <v>108</v>
      </c>
      <c r="C212" s="57">
        <v>1997.01</v>
      </c>
      <c r="D212" s="54" t="s">
        <v>112</v>
      </c>
      <c r="E212" s="54">
        <v>1000</v>
      </c>
      <c r="F212" s="63">
        <v>1</v>
      </c>
      <c r="G212" s="61">
        <v>10269560</v>
      </c>
      <c r="H212" s="61">
        <f t="shared" si="40"/>
        <v>10269560000</v>
      </c>
      <c r="I212" s="146">
        <f t="shared" si="41"/>
        <v>0.999</v>
      </c>
      <c r="J212" s="61">
        <f t="shared" si="42"/>
        <v>10279839839.83984</v>
      </c>
      <c r="K212" s="61">
        <f t="shared" si="43"/>
        <v>8109030000</v>
      </c>
      <c r="L212" s="61">
        <f t="shared" si="44"/>
        <v>2050263000</v>
      </c>
      <c r="M212" s="61">
        <f t="shared" si="45"/>
        <v>13194456000</v>
      </c>
      <c r="N212" s="86">
        <v>101.17270000000001</v>
      </c>
      <c r="O212" s="80">
        <f t="shared" si="46"/>
        <v>9.8742051956703727E-3</v>
      </c>
      <c r="P212" s="61">
        <f t="shared" si="47"/>
        <v>80150376.5343813</v>
      </c>
      <c r="Q212" s="61">
        <f t="shared" si="48"/>
        <v>20264982.549640365</v>
      </c>
      <c r="R212" s="61">
        <f t="shared" si="49"/>
        <v>130415181.17041454</v>
      </c>
      <c r="S212" s="61">
        <v>8109030</v>
      </c>
      <c r="T212" s="61">
        <v>1275048</v>
      </c>
      <c r="U212" s="61">
        <v>1275048</v>
      </c>
      <c r="V212" s="61">
        <v>0</v>
      </c>
      <c r="W212" s="61">
        <v>1275048</v>
      </c>
      <c r="X212" s="61">
        <v>0</v>
      </c>
      <c r="Y212" s="61">
        <v>0</v>
      </c>
      <c r="Z212" s="61">
        <v>0</v>
      </c>
      <c r="AA212" s="61">
        <v>6833982</v>
      </c>
      <c r="AB212" s="61">
        <v>1262903</v>
      </c>
      <c r="AC212" s="61">
        <v>5571079</v>
      </c>
      <c r="AD212" s="61">
        <v>2050263</v>
      </c>
      <c r="AE212" s="61">
        <v>20428853</v>
      </c>
      <c r="AF212" s="61">
        <v>7234397</v>
      </c>
      <c r="AG212" s="61">
        <v>1734760</v>
      </c>
      <c r="AH212" s="61">
        <v>1446356</v>
      </c>
      <c r="AI212" s="61">
        <v>0</v>
      </c>
      <c r="AJ212" s="61">
        <v>1446356</v>
      </c>
      <c r="AK212" s="61">
        <v>0</v>
      </c>
      <c r="AL212" s="61">
        <v>288404</v>
      </c>
      <c r="AM212" s="61">
        <v>0</v>
      </c>
      <c r="AN212" s="61">
        <v>2050</v>
      </c>
      <c r="AO212" s="64"/>
      <c r="AP212" s="61">
        <v>0</v>
      </c>
      <c r="AQ212" s="61">
        <v>5497587</v>
      </c>
      <c r="AR212" s="61">
        <v>13194456</v>
      </c>
      <c r="AS212" s="61">
        <v>13194456</v>
      </c>
      <c r="AT212" s="61">
        <v>11124862</v>
      </c>
      <c r="AU212" s="61">
        <v>2069594</v>
      </c>
      <c r="AV212" s="61">
        <v>0</v>
      </c>
      <c r="AW212" s="65">
        <v>0.999</v>
      </c>
      <c r="AX212">
        <f t="shared" si="39"/>
        <v>99900000</v>
      </c>
      <c r="AY212" s="78">
        <f t="shared" si="50"/>
        <v>0.999</v>
      </c>
    </row>
    <row r="213" spans="1:51" x14ac:dyDescent="0.25">
      <c r="A213" s="57"/>
      <c r="B213" s="56" t="s">
        <v>104</v>
      </c>
      <c r="C213" s="57">
        <v>1997.02</v>
      </c>
      <c r="D213" s="54" t="s">
        <v>112</v>
      </c>
      <c r="E213" s="54">
        <v>1000</v>
      </c>
      <c r="F213" s="63">
        <v>1</v>
      </c>
      <c r="G213" s="61">
        <v>11026783</v>
      </c>
      <c r="H213" s="61">
        <f t="shared" si="40"/>
        <v>11026783000</v>
      </c>
      <c r="I213" s="146">
        <f t="shared" si="41"/>
        <v>0.999</v>
      </c>
      <c r="J213" s="61">
        <f t="shared" si="42"/>
        <v>11037820820.820822</v>
      </c>
      <c r="K213" s="61">
        <f t="shared" si="43"/>
        <v>7692776000</v>
      </c>
      <c r="L213" s="61">
        <f t="shared" si="44"/>
        <v>2047161000</v>
      </c>
      <c r="M213" s="61">
        <f t="shared" si="45"/>
        <v>13144134000</v>
      </c>
      <c r="N213" s="86">
        <v>101.5617</v>
      </c>
      <c r="O213" s="80">
        <f t="shared" si="46"/>
        <v>9.836385172757053E-3</v>
      </c>
      <c r="P213" s="61">
        <f t="shared" si="47"/>
        <v>75744852.636377692</v>
      </c>
      <c r="Q213" s="61">
        <f t="shared" si="48"/>
        <v>20156820.927574076</v>
      </c>
      <c r="R213" s="61">
        <f t="shared" si="49"/>
        <v>129420184.97130315</v>
      </c>
      <c r="S213" s="61">
        <v>7692776</v>
      </c>
      <c r="T213" s="61">
        <v>1122080</v>
      </c>
      <c r="U213" s="61">
        <v>1122080</v>
      </c>
      <c r="V213" s="61">
        <v>0</v>
      </c>
      <c r="W213" s="61">
        <v>1122080</v>
      </c>
      <c r="X213" s="61">
        <v>0</v>
      </c>
      <c r="Y213" s="61">
        <v>0</v>
      </c>
      <c r="Z213" s="61">
        <v>0</v>
      </c>
      <c r="AA213" s="61">
        <v>6570696</v>
      </c>
      <c r="AB213" s="61">
        <v>1038444</v>
      </c>
      <c r="AC213" s="61">
        <v>5532252</v>
      </c>
      <c r="AD213" s="61">
        <v>2047161</v>
      </c>
      <c r="AE213" s="61">
        <v>20766720</v>
      </c>
      <c r="AF213" s="61">
        <v>7622586</v>
      </c>
      <c r="AG213" s="61">
        <v>2272187</v>
      </c>
      <c r="AH213" s="61">
        <v>1981505</v>
      </c>
      <c r="AI213" s="61">
        <v>0</v>
      </c>
      <c r="AJ213" s="61">
        <v>1981505</v>
      </c>
      <c r="AK213" s="61">
        <v>0</v>
      </c>
      <c r="AL213" s="61">
        <v>290682</v>
      </c>
      <c r="AM213" s="61">
        <v>0</v>
      </c>
      <c r="AN213" s="61">
        <v>1587</v>
      </c>
      <c r="AO213" s="64"/>
      <c r="AP213" s="61">
        <v>0</v>
      </c>
      <c r="AQ213" s="61">
        <v>5348812</v>
      </c>
      <c r="AR213" s="61">
        <v>13144134</v>
      </c>
      <c r="AS213" s="61">
        <v>13144134</v>
      </c>
      <c r="AT213" s="61">
        <v>11108793</v>
      </c>
      <c r="AU213" s="61">
        <v>2035341</v>
      </c>
      <c r="AV213" s="61">
        <v>0</v>
      </c>
      <c r="AW213" s="65">
        <v>0.999</v>
      </c>
      <c r="AX213">
        <f t="shared" si="39"/>
        <v>99900000</v>
      </c>
      <c r="AY213" s="78">
        <f t="shared" si="50"/>
        <v>0.999</v>
      </c>
    </row>
    <row r="214" spans="1:51" x14ac:dyDescent="0.25">
      <c r="A214" s="57"/>
      <c r="B214" s="56" t="s">
        <v>105</v>
      </c>
      <c r="C214" s="57">
        <v>1997.03</v>
      </c>
      <c r="D214" s="54" t="s">
        <v>112</v>
      </c>
      <c r="E214" s="54">
        <v>1000</v>
      </c>
      <c r="F214" s="63">
        <v>1</v>
      </c>
      <c r="G214" s="61">
        <v>9265929</v>
      </c>
      <c r="H214" s="61">
        <f t="shared" si="40"/>
        <v>9265929000</v>
      </c>
      <c r="I214" s="146">
        <f t="shared" si="41"/>
        <v>0.999</v>
      </c>
      <c r="J214" s="61">
        <f t="shared" si="42"/>
        <v>9275204204.2042046</v>
      </c>
      <c r="K214" s="61">
        <f t="shared" si="43"/>
        <v>8705949000</v>
      </c>
      <c r="L214" s="61">
        <f t="shared" si="44"/>
        <v>2016630000</v>
      </c>
      <c r="M214" s="61">
        <f t="shared" si="45"/>
        <v>13370844000</v>
      </c>
      <c r="N214" s="86">
        <v>101.0611</v>
      </c>
      <c r="O214" s="80">
        <f t="shared" si="46"/>
        <v>9.8851091072628336E-3</v>
      </c>
      <c r="P214" s="61">
        <f t="shared" si="47"/>
        <v>86145401.14841418</v>
      </c>
      <c r="Q214" s="61">
        <f t="shared" si="48"/>
        <v>19954562.141120572</v>
      </c>
      <c r="R214" s="61">
        <f t="shared" si="49"/>
        <v>132304556.35254318</v>
      </c>
      <c r="S214" s="61">
        <v>8705949</v>
      </c>
      <c r="T214" s="61">
        <v>1125806</v>
      </c>
      <c r="U214" s="61">
        <v>1125806</v>
      </c>
      <c r="V214" s="61">
        <v>0</v>
      </c>
      <c r="W214" s="61">
        <v>1125806</v>
      </c>
      <c r="X214" s="61">
        <v>0</v>
      </c>
      <c r="Y214" s="61">
        <v>0</v>
      </c>
      <c r="Z214" s="61">
        <v>0</v>
      </c>
      <c r="AA214" s="61">
        <v>7580143</v>
      </c>
      <c r="AB214" s="61">
        <v>1923295</v>
      </c>
      <c r="AC214" s="61">
        <v>5656848</v>
      </c>
      <c r="AD214" s="61">
        <v>2016630</v>
      </c>
      <c r="AE214" s="61">
        <v>19988508</v>
      </c>
      <c r="AF214" s="61">
        <v>6617664</v>
      </c>
      <c r="AG214" s="61">
        <v>1438803</v>
      </c>
      <c r="AH214" s="61">
        <v>1135387</v>
      </c>
      <c r="AI214" s="61">
        <v>0</v>
      </c>
      <c r="AJ214" s="61">
        <v>1135387</v>
      </c>
      <c r="AK214" s="61">
        <v>0</v>
      </c>
      <c r="AL214" s="61">
        <v>303416</v>
      </c>
      <c r="AM214" s="61">
        <v>0</v>
      </c>
      <c r="AN214" s="61">
        <v>3167</v>
      </c>
      <c r="AO214" s="64"/>
      <c r="AP214" s="61">
        <v>0</v>
      </c>
      <c r="AQ214" s="61">
        <v>5175694</v>
      </c>
      <c r="AR214" s="61">
        <v>13370844</v>
      </c>
      <c r="AS214" s="61">
        <v>13370844</v>
      </c>
      <c r="AT214" s="61">
        <v>10919476</v>
      </c>
      <c r="AU214" s="61">
        <v>2451368</v>
      </c>
      <c r="AV214" s="61">
        <v>0</v>
      </c>
      <c r="AW214" s="65">
        <v>0.999</v>
      </c>
      <c r="AX214">
        <f t="shared" si="39"/>
        <v>99900000</v>
      </c>
      <c r="AY214" s="78">
        <f t="shared" si="50"/>
        <v>0.999</v>
      </c>
    </row>
    <row r="215" spans="1:51" x14ac:dyDescent="0.25">
      <c r="A215" s="57"/>
      <c r="B215" s="56" t="s">
        <v>106</v>
      </c>
      <c r="C215" s="57">
        <v>1997.04</v>
      </c>
      <c r="D215" s="54" t="s">
        <v>112</v>
      </c>
      <c r="E215" s="54">
        <v>1000</v>
      </c>
      <c r="F215" s="63">
        <v>1</v>
      </c>
      <c r="G215" s="61">
        <v>8427768</v>
      </c>
      <c r="H215" s="61">
        <f t="shared" si="40"/>
        <v>8427768000</v>
      </c>
      <c r="I215" s="146">
        <f t="shared" si="41"/>
        <v>0.999</v>
      </c>
      <c r="J215" s="61">
        <f t="shared" si="42"/>
        <v>8436204204.2042046</v>
      </c>
      <c r="K215" s="61">
        <f t="shared" si="43"/>
        <v>8279895000</v>
      </c>
      <c r="L215" s="61">
        <f t="shared" si="44"/>
        <v>2013093000</v>
      </c>
      <c r="M215" s="61">
        <f t="shared" si="45"/>
        <v>13221558000</v>
      </c>
      <c r="N215" s="86">
        <v>100.72709999999999</v>
      </c>
      <c r="O215" s="80">
        <f t="shared" si="46"/>
        <v>9.9178870433081073E-3</v>
      </c>
      <c r="P215" s="61">
        <f t="shared" si="47"/>
        <v>82201264.605056643</v>
      </c>
      <c r="Q215" s="61">
        <f t="shared" si="48"/>
        <v>19985614.59627052</v>
      </c>
      <c r="R215" s="61">
        <f t="shared" si="49"/>
        <v>131261179.96050715</v>
      </c>
      <c r="S215" s="61">
        <v>8279895</v>
      </c>
      <c r="T215" s="61">
        <v>1127898</v>
      </c>
      <c r="U215" s="61">
        <v>1127898</v>
      </c>
      <c r="V215" s="61">
        <v>0</v>
      </c>
      <c r="W215" s="61">
        <v>1127898</v>
      </c>
      <c r="X215" s="61">
        <v>0</v>
      </c>
      <c r="Y215" s="61">
        <v>0</v>
      </c>
      <c r="Z215" s="61">
        <v>0</v>
      </c>
      <c r="AA215" s="61">
        <v>7151997</v>
      </c>
      <c r="AB215" s="61">
        <v>1564627</v>
      </c>
      <c r="AC215" s="61">
        <v>5587370</v>
      </c>
      <c r="AD215" s="61">
        <v>2013093</v>
      </c>
      <c r="AE215" s="61">
        <v>18720756</v>
      </c>
      <c r="AF215" s="61">
        <v>5499198</v>
      </c>
      <c r="AG215" s="61">
        <v>406090</v>
      </c>
      <c r="AH215" s="61">
        <v>101893</v>
      </c>
      <c r="AI215" s="61">
        <v>0</v>
      </c>
      <c r="AJ215" s="61">
        <v>101893</v>
      </c>
      <c r="AK215" s="61">
        <v>0</v>
      </c>
      <c r="AL215" s="61">
        <v>304197</v>
      </c>
      <c r="AM215" s="61">
        <v>0</v>
      </c>
      <c r="AN215" s="61">
        <v>3093</v>
      </c>
      <c r="AO215" s="64"/>
      <c r="AP215" s="61">
        <v>0</v>
      </c>
      <c r="AQ215" s="61">
        <v>5090015</v>
      </c>
      <c r="AR215" s="61">
        <v>13221558</v>
      </c>
      <c r="AS215" s="61">
        <v>13221558</v>
      </c>
      <c r="AT215" s="61">
        <v>11058868</v>
      </c>
      <c r="AU215" s="61">
        <v>2162690</v>
      </c>
      <c r="AV215" s="61">
        <v>0</v>
      </c>
      <c r="AW215" s="65">
        <v>0.999</v>
      </c>
      <c r="AX215">
        <f t="shared" si="39"/>
        <v>99900000</v>
      </c>
      <c r="AY215" s="78">
        <f t="shared" si="50"/>
        <v>0.999</v>
      </c>
    </row>
    <row r="216" spans="1:51" x14ac:dyDescent="0.25">
      <c r="A216" s="57"/>
      <c r="B216" s="56" t="s">
        <v>107</v>
      </c>
      <c r="C216" s="57">
        <v>1997.05</v>
      </c>
      <c r="D216" s="54" t="s">
        <v>112</v>
      </c>
      <c r="E216" s="54">
        <v>1000</v>
      </c>
      <c r="F216" s="63">
        <v>1</v>
      </c>
      <c r="G216" s="61">
        <v>9610046</v>
      </c>
      <c r="H216" s="61">
        <f t="shared" si="40"/>
        <v>9610046000</v>
      </c>
      <c r="I216" s="146">
        <f t="shared" si="41"/>
        <v>0.999</v>
      </c>
      <c r="J216" s="61">
        <f t="shared" si="42"/>
        <v>9619665665.6656666</v>
      </c>
      <c r="K216" s="61">
        <f t="shared" si="43"/>
        <v>8002251000</v>
      </c>
      <c r="L216" s="61">
        <f t="shared" si="44"/>
        <v>1906829000</v>
      </c>
      <c r="M216" s="61">
        <f t="shared" si="45"/>
        <v>13440401000</v>
      </c>
      <c r="N216" s="86">
        <v>100.6435</v>
      </c>
      <c r="O216" s="80">
        <f t="shared" si="46"/>
        <v>9.9261253831593697E-3</v>
      </c>
      <c r="P216" s="61">
        <f t="shared" si="47"/>
        <v>79510857.631143585</v>
      </c>
      <c r="Q216" s="61">
        <f t="shared" si="48"/>
        <v>18946370.108352751</v>
      </c>
      <c r="R216" s="61">
        <f t="shared" si="49"/>
        <v>133544650.17611669</v>
      </c>
      <c r="S216" s="61">
        <v>8002251</v>
      </c>
      <c r="T216" s="61">
        <v>1124513</v>
      </c>
      <c r="U216" s="61">
        <v>1124513</v>
      </c>
      <c r="V216" s="61">
        <v>0</v>
      </c>
      <c r="W216" s="61">
        <v>1124513</v>
      </c>
      <c r="X216" s="61">
        <v>0</v>
      </c>
      <c r="Y216" s="61">
        <v>0</v>
      </c>
      <c r="Z216" s="61">
        <v>0</v>
      </c>
      <c r="AA216" s="61">
        <v>6877738</v>
      </c>
      <c r="AB216" s="61">
        <v>1211402</v>
      </c>
      <c r="AC216" s="61">
        <v>5666336</v>
      </c>
      <c r="AD216" s="61">
        <v>1906829</v>
      </c>
      <c r="AE216" s="61">
        <v>19519126</v>
      </c>
      <c r="AF216" s="61">
        <v>6078725</v>
      </c>
      <c r="AG216" s="61">
        <v>1005460</v>
      </c>
      <c r="AH216" s="61">
        <v>712786</v>
      </c>
      <c r="AI216" s="61">
        <v>0</v>
      </c>
      <c r="AJ216" s="61">
        <v>712786</v>
      </c>
      <c r="AK216" s="61">
        <v>0</v>
      </c>
      <c r="AL216" s="61">
        <v>292674</v>
      </c>
      <c r="AM216" s="61">
        <v>0</v>
      </c>
      <c r="AN216" s="61">
        <v>7429</v>
      </c>
      <c r="AO216" s="64"/>
      <c r="AP216" s="61">
        <v>0</v>
      </c>
      <c r="AQ216" s="61">
        <v>5065836</v>
      </c>
      <c r="AR216" s="61">
        <v>13440401</v>
      </c>
      <c r="AS216" s="61">
        <v>13440401</v>
      </c>
      <c r="AT216" s="61">
        <v>11341587</v>
      </c>
      <c r="AU216" s="61">
        <v>2098814</v>
      </c>
      <c r="AV216" s="61">
        <v>0</v>
      </c>
      <c r="AW216" s="65">
        <v>0.999</v>
      </c>
      <c r="AX216">
        <f t="shared" si="39"/>
        <v>99900000</v>
      </c>
      <c r="AY216" s="78">
        <f t="shared" si="50"/>
        <v>0.999</v>
      </c>
    </row>
    <row r="217" spans="1:51" x14ac:dyDescent="0.25">
      <c r="A217" s="57"/>
      <c r="B217" s="56" t="s">
        <v>96</v>
      </c>
      <c r="C217" s="57">
        <v>1997.06</v>
      </c>
      <c r="D217" s="54" t="s">
        <v>112</v>
      </c>
      <c r="E217" s="54">
        <v>1000</v>
      </c>
      <c r="F217" s="63">
        <v>1</v>
      </c>
      <c r="G217" s="61">
        <v>10903993</v>
      </c>
      <c r="H217" s="61">
        <f t="shared" si="40"/>
        <v>10903993000</v>
      </c>
      <c r="I217" s="146">
        <f t="shared" si="41"/>
        <v>0.999</v>
      </c>
      <c r="J217" s="61">
        <f t="shared" si="42"/>
        <v>10914907907.907907</v>
      </c>
      <c r="K217" s="61">
        <f t="shared" si="43"/>
        <v>7975359000</v>
      </c>
      <c r="L217" s="61">
        <f t="shared" si="44"/>
        <v>1864580000</v>
      </c>
      <c r="M217" s="61">
        <f t="shared" si="45"/>
        <v>14041230000</v>
      </c>
      <c r="N217" s="86">
        <v>100.87260000000001</v>
      </c>
      <c r="O217" s="80">
        <f t="shared" si="46"/>
        <v>9.9035813491473394E-3</v>
      </c>
      <c r="P217" s="61">
        <f t="shared" si="47"/>
        <v>79063680.325479865</v>
      </c>
      <c r="Q217" s="61">
        <f t="shared" si="48"/>
        <v>18484504.216209356</v>
      </c>
      <c r="R217" s="61">
        <f t="shared" si="49"/>
        <v>139197661.20829639</v>
      </c>
      <c r="S217" s="61">
        <v>7975359</v>
      </c>
      <c r="T217" s="61">
        <v>957839</v>
      </c>
      <c r="U217" s="61">
        <v>957839</v>
      </c>
      <c r="V217" s="61">
        <v>0</v>
      </c>
      <c r="W217" s="61">
        <v>957839</v>
      </c>
      <c r="X217" s="61">
        <v>0</v>
      </c>
      <c r="Y217" s="61">
        <v>0</v>
      </c>
      <c r="Z217" s="61">
        <v>0</v>
      </c>
      <c r="AA217" s="61">
        <v>7017520</v>
      </c>
      <c r="AB217" s="61">
        <v>1217588</v>
      </c>
      <c r="AC217" s="61">
        <v>5799932</v>
      </c>
      <c r="AD217" s="61">
        <v>1864580</v>
      </c>
      <c r="AE217" s="61">
        <v>20743932</v>
      </c>
      <c r="AF217" s="61">
        <v>6702702</v>
      </c>
      <c r="AG217" s="61">
        <v>1625237</v>
      </c>
      <c r="AH217" s="61">
        <v>1332562</v>
      </c>
      <c r="AI217" s="61">
        <v>0</v>
      </c>
      <c r="AJ217" s="61">
        <v>1332562</v>
      </c>
      <c r="AK217" s="61">
        <v>0</v>
      </c>
      <c r="AL217" s="61">
        <v>292675</v>
      </c>
      <c r="AM217" s="61">
        <v>0</v>
      </c>
      <c r="AN217" s="61">
        <v>2487</v>
      </c>
      <c r="AO217" s="64"/>
      <c r="AP217" s="61">
        <v>0</v>
      </c>
      <c r="AQ217" s="61">
        <v>5074978</v>
      </c>
      <c r="AR217" s="61">
        <v>14041230</v>
      </c>
      <c r="AS217" s="61">
        <v>14041230</v>
      </c>
      <c r="AT217" s="61">
        <v>11588201</v>
      </c>
      <c r="AU217" s="61">
        <v>2453029</v>
      </c>
      <c r="AV217" s="61">
        <v>0</v>
      </c>
      <c r="AW217" s="65">
        <v>0.999</v>
      </c>
      <c r="AX217">
        <f t="shared" si="39"/>
        <v>99900000</v>
      </c>
      <c r="AY217" s="78">
        <f t="shared" si="50"/>
        <v>0.999</v>
      </c>
    </row>
    <row r="218" spans="1:51" x14ac:dyDescent="0.25">
      <c r="A218" s="57"/>
      <c r="B218" s="56" t="s">
        <v>97</v>
      </c>
      <c r="C218" s="57">
        <v>1997.07</v>
      </c>
      <c r="D218" s="54" t="s">
        <v>112</v>
      </c>
      <c r="E218" s="54">
        <v>1000</v>
      </c>
      <c r="F218" s="63">
        <v>1</v>
      </c>
      <c r="G218" s="61">
        <v>11002752</v>
      </c>
      <c r="H218" s="61">
        <f t="shared" si="40"/>
        <v>11002752000</v>
      </c>
      <c r="I218" s="146">
        <f t="shared" si="41"/>
        <v>0.999</v>
      </c>
      <c r="J218" s="61">
        <f t="shared" si="42"/>
        <v>11013765765.765766</v>
      </c>
      <c r="K218" s="61">
        <f t="shared" si="43"/>
        <v>7709178000</v>
      </c>
      <c r="L218" s="61">
        <f t="shared" si="44"/>
        <v>1855408000</v>
      </c>
      <c r="M218" s="61">
        <f t="shared" si="45"/>
        <v>14525870000</v>
      </c>
      <c r="N218" s="86">
        <v>101.0968</v>
      </c>
      <c r="O218" s="80">
        <f t="shared" si="46"/>
        <v>9.8816184092869411E-3</v>
      </c>
      <c r="P218" s="61">
        <f t="shared" si="47"/>
        <v>76255410.65592581</v>
      </c>
      <c r="Q218" s="61">
        <f t="shared" si="48"/>
        <v>18352786.636174437</v>
      </c>
      <c r="R218" s="61">
        <f t="shared" si="49"/>
        <v>143682787.190099</v>
      </c>
      <c r="S218" s="61">
        <v>7709178</v>
      </c>
      <c r="T218" s="61">
        <v>981153</v>
      </c>
      <c r="U218" s="61">
        <v>981153</v>
      </c>
      <c r="V218" s="61">
        <v>0</v>
      </c>
      <c r="W218" s="61">
        <v>981153</v>
      </c>
      <c r="X218" s="61">
        <v>0</v>
      </c>
      <c r="Y218" s="61">
        <v>0</v>
      </c>
      <c r="Z218" s="61">
        <v>0</v>
      </c>
      <c r="AA218" s="61">
        <v>6728025</v>
      </c>
      <c r="AB218" s="61">
        <v>1089728</v>
      </c>
      <c r="AC218" s="61">
        <v>5638297</v>
      </c>
      <c r="AD218" s="61">
        <v>1855408</v>
      </c>
      <c r="AE218" s="61">
        <v>20567338</v>
      </c>
      <c r="AF218" s="61">
        <v>6041468</v>
      </c>
      <c r="AG218" s="61">
        <v>743315</v>
      </c>
      <c r="AH218" s="61">
        <v>415126</v>
      </c>
      <c r="AI218" s="61">
        <v>0</v>
      </c>
      <c r="AJ218" s="61">
        <v>415126</v>
      </c>
      <c r="AK218" s="61">
        <v>0</v>
      </c>
      <c r="AL218" s="61">
        <v>328189</v>
      </c>
      <c r="AM218" s="61">
        <v>0</v>
      </c>
      <c r="AN218" s="61">
        <v>2767</v>
      </c>
      <c r="AO218" s="64"/>
      <c r="AP218" s="61">
        <v>0</v>
      </c>
      <c r="AQ218" s="61">
        <v>5295386</v>
      </c>
      <c r="AR218" s="61">
        <v>14525870</v>
      </c>
      <c r="AS218" s="61">
        <v>14525870</v>
      </c>
      <c r="AT218" s="61">
        <v>12059894</v>
      </c>
      <c r="AU218" s="61">
        <v>2465976</v>
      </c>
      <c r="AV218" s="61">
        <v>0</v>
      </c>
      <c r="AW218" s="65">
        <v>0.999</v>
      </c>
      <c r="AX218">
        <f t="shared" si="39"/>
        <v>99900000</v>
      </c>
      <c r="AY218" s="78">
        <f t="shared" si="50"/>
        <v>0.999</v>
      </c>
    </row>
    <row r="219" spans="1:51" x14ac:dyDescent="0.25">
      <c r="A219" s="57"/>
      <c r="B219" s="56" t="s">
        <v>98</v>
      </c>
      <c r="C219" s="57">
        <v>1997.08</v>
      </c>
      <c r="D219" s="54" t="s">
        <v>112</v>
      </c>
      <c r="E219" s="54">
        <v>1000</v>
      </c>
      <c r="F219" s="63">
        <v>1</v>
      </c>
      <c r="G219" s="61">
        <v>10106865</v>
      </c>
      <c r="H219" s="61">
        <f t="shared" si="40"/>
        <v>10106865000</v>
      </c>
      <c r="I219" s="146">
        <f t="shared" si="41"/>
        <v>0.999</v>
      </c>
      <c r="J219" s="61">
        <f t="shared" si="42"/>
        <v>10116981981.981981</v>
      </c>
      <c r="K219" s="61">
        <f t="shared" si="43"/>
        <v>7934013000</v>
      </c>
      <c r="L219" s="61">
        <f t="shared" si="44"/>
        <v>1855681000</v>
      </c>
      <c r="M219" s="61">
        <f t="shared" si="45"/>
        <v>14295031000</v>
      </c>
      <c r="N219" s="86">
        <v>101.2632</v>
      </c>
      <c r="O219" s="80">
        <f t="shared" si="46"/>
        <v>9.8653805133552958E-3</v>
      </c>
      <c r="P219" s="61">
        <f t="shared" si="47"/>
        <v>78350407.650558144</v>
      </c>
      <c r="Q219" s="61">
        <f t="shared" si="48"/>
        <v>18325324.500904575</v>
      </c>
      <c r="R219" s="61">
        <f t="shared" si="49"/>
        <v>141167087.35256243</v>
      </c>
      <c r="S219" s="61">
        <v>7934013</v>
      </c>
      <c r="T219" s="61">
        <v>944567</v>
      </c>
      <c r="U219" s="61">
        <v>944567</v>
      </c>
      <c r="V219" s="61">
        <v>0</v>
      </c>
      <c r="W219" s="61">
        <v>944567</v>
      </c>
      <c r="X219" s="61">
        <v>0</v>
      </c>
      <c r="Y219" s="61">
        <v>0</v>
      </c>
      <c r="Z219" s="61">
        <v>0</v>
      </c>
      <c r="AA219" s="61">
        <v>6989446</v>
      </c>
      <c r="AB219" s="61">
        <v>1359021</v>
      </c>
      <c r="AC219" s="61">
        <v>5630425</v>
      </c>
      <c r="AD219" s="61">
        <v>1855681</v>
      </c>
      <c r="AE219" s="61">
        <v>19896559</v>
      </c>
      <c r="AF219" s="61">
        <v>5601528</v>
      </c>
      <c r="AG219" s="61">
        <v>401955</v>
      </c>
      <c r="AH219" s="61">
        <v>69011</v>
      </c>
      <c r="AI219" s="61">
        <v>0</v>
      </c>
      <c r="AJ219" s="61">
        <v>69011</v>
      </c>
      <c r="AK219" s="61">
        <v>0</v>
      </c>
      <c r="AL219" s="61">
        <v>332944</v>
      </c>
      <c r="AM219" s="61">
        <v>0</v>
      </c>
      <c r="AN219" s="61">
        <v>14586</v>
      </c>
      <c r="AO219" s="64"/>
      <c r="AP219" s="61">
        <v>0</v>
      </c>
      <c r="AQ219" s="61">
        <v>5184987</v>
      </c>
      <c r="AR219" s="61">
        <v>14295031</v>
      </c>
      <c r="AS219" s="61">
        <v>14295031</v>
      </c>
      <c r="AT219" s="61">
        <v>12019950</v>
      </c>
      <c r="AU219" s="61">
        <v>2275081</v>
      </c>
      <c r="AV219" s="61">
        <v>0</v>
      </c>
      <c r="AW219" s="65">
        <v>0.999</v>
      </c>
      <c r="AX219">
        <f t="shared" si="39"/>
        <v>99900000</v>
      </c>
      <c r="AY219" s="78">
        <f t="shared" si="50"/>
        <v>0.999</v>
      </c>
    </row>
    <row r="220" spans="1:51" x14ac:dyDescent="0.25">
      <c r="A220" s="57"/>
      <c r="B220" s="56" t="s">
        <v>99</v>
      </c>
      <c r="C220" s="57">
        <v>1997.09</v>
      </c>
      <c r="D220" s="54" t="s">
        <v>112</v>
      </c>
      <c r="E220" s="54">
        <v>1000</v>
      </c>
      <c r="F220" s="63">
        <v>1</v>
      </c>
      <c r="G220" s="61">
        <v>9901673</v>
      </c>
      <c r="H220" s="61">
        <f t="shared" si="40"/>
        <v>9901673000</v>
      </c>
      <c r="I220" s="146">
        <f t="shared" si="41"/>
        <v>0.999</v>
      </c>
      <c r="J220" s="61">
        <f t="shared" si="42"/>
        <v>9911584584.5845852</v>
      </c>
      <c r="K220" s="61">
        <f t="shared" si="43"/>
        <v>8131148000</v>
      </c>
      <c r="L220" s="61">
        <f t="shared" si="44"/>
        <v>1808140000</v>
      </c>
      <c r="M220" s="61">
        <f t="shared" si="45"/>
        <v>14192183000</v>
      </c>
      <c r="N220" s="86">
        <v>101.21469999999999</v>
      </c>
      <c r="O220" s="80">
        <f t="shared" si="46"/>
        <v>9.8701078005467586E-3</v>
      </c>
      <c r="P220" s="61">
        <f t="shared" si="47"/>
        <v>80335642.945145324</v>
      </c>
      <c r="Q220" s="61">
        <f t="shared" si="48"/>
        <v>17864401.119600218</v>
      </c>
      <c r="R220" s="61">
        <f t="shared" si="49"/>
        <v>140218594.72981691</v>
      </c>
      <c r="S220" s="61">
        <v>8131148</v>
      </c>
      <c r="T220" s="61">
        <v>960563</v>
      </c>
      <c r="U220" s="61">
        <v>960563</v>
      </c>
      <c r="V220" s="61">
        <v>0</v>
      </c>
      <c r="W220" s="61">
        <v>960563</v>
      </c>
      <c r="X220" s="61">
        <v>0</v>
      </c>
      <c r="Y220" s="61">
        <v>0</v>
      </c>
      <c r="Z220" s="61">
        <v>0</v>
      </c>
      <c r="AA220" s="61">
        <v>7170585</v>
      </c>
      <c r="AB220" s="61">
        <v>1436932</v>
      </c>
      <c r="AC220" s="61">
        <v>5733653</v>
      </c>
      <c r="AD220" s="61">
        <v>1808140</v>
      </c>
      <c r="AE220" s="61">
        <v>19840961</v>
      </c>
      <c r="AF220" s="61">
        <v>5648778</v>
      </c>
      <c r="AG220" s="61">
        <v>352475</v>
      </c>
      <c r="AH220" s="61">
        <v>17377</v>
      </c>
      <c r="AI220" s="61">
        <v>0</v>
      </c>
      <c r="AJ220" s="61">
        <v>17377</v>
      </c>
      <c r="AK220" s="61">
        <v>0</v>
      </c>
      <c r="AL220" s="61">
        <v>335098</v>
      </c>
      <c r="AM220" s="61">
        <v>0</v>
      </c>
      <c r="AN220" s="61">
        <v>10963</v>
      </c>
      <c r="AO220" s="64"/>
      <c r="AP220" s="61">
        <v>0</v>
      </c>
      <c r="AQ220" s="61">
        <v>5285340</v>
      </c>
      <c r="AR220" s="61">
        <v>14192183</v>
      </c>
      <c r="AS220" s="61">
        <v>14192183</v>
      </c>
      <c r="AT220" s="61">
        <v>11714121</v>
      </c>
      <c r="AU220" s="61">
        <v>2478062</v>
      </c>
      <c r="AV220" s="61">
        <v>0</v>
      </c>
      <c r="AW220" s="65">
        <v>0.999</v>
      </c>
      <c r="AX220">
        <f t="shared" si="39"/>
        <v>99900000</v>
      </c>
      <c r="AY220" s="78">
        <f t="shared" si="50"/>
        <v>0.999</v>
      </c>
    </row>
    <row r="221" spans="1:51" x14ac:dyDescent="0.25">
      <c r="A221" s="57"/>
      <c r="B221" s="56" t="s">
        <v>100</v>
      </c>
      <c r="C221" s="57">
        <v>1997.1</v>
      </c>
      <c r="D221" s="54" t="s">
        <v>112</v>
      </c>
      <c r="E221" s="54">
        <v>1000</v>
      </c>
      <c r="F221" s="63">
        <v>1</v>
      </c>
      <c r="G221" s="61">
        <v>10370622</v>
      </c>
      <c r="H221" s="61">
        <f t="shared" si="40"/>
        <v>10370622000</v>
      </c>
      <c r="I221" s="146">
        <f t="shared" si="41"/>
        <v>0.999</v>
      </c>
      <c r="J221" s="61">
        <f t="shared" si="42"/>
        <v>10381003003.003002</v>
      </c>
      <c r="K221" s="61">
        <f t="shared" si="43"/>
        <v>8677557000</v>
      </c>
      <c r="L221" s="61">
        <f t="shared" si="44"/>
        <v>1807065000</v>
      </c>
      <c r="M221" s="61">
        <f t="shared" si="45"/>
        <v>14216303000</v>
      </c>
      <c r="N221" s="86">
        <v>101.0561</v>
      </c>
      <c r="O221" s="80">
        <f t="shared" si="46"/>
        <v>9.8855981974368696E-3</v>
      </c>
      <c r="P221" s="61">
        <f t="shared" si="47"/>
        <v>85868710.547903582</v>
      </c>
      <c r="Q221" s="61">
        <f t="shared" si="48"/>
        <v>17881800.306958213</v>
      </c>
      <c r="R221" s="61">
        <f t="shared" si="49"/>
        <v>140677336.64766401</v>
      </c>
      <c r="S221" s="61">
        <v>8677557</v>
      </c>
      <c r="T221" s="61">
        <v>957644</v>
      </c>
      <c r="U221" s="61">
        <v>957644</v>
      </c>
      <c r="V221" s="61">
        <v>0</v>
      </c>
      <c r="W221" s="61">
        <v>957644</v>
      </c>
      <c r="X221" s="61">
        <v>0</v>
      </c>
      <c r="Y221" s="61">
        <v>0</v>
      </c>
      <c r="Z221" s="61">
        <v>0</v>
      </c>
      <c r="AA221" s="61">
        <v>7719913</v>
      </c>
      <c r="AB221" s="61">
        <v>1908941</v>
      </c>
      <c r="AC221" s="61">
        <v>5810972</v>
      </c>
      <c r="AD221" s="61">
        <v>1807065</v>
      </c>
      <c r="AE221" s="61">
        <v>20855244</v>
      </c>
      <c r="AF221" s="61">
        <v>6638941</v>
      </c>
      <c r="AG221" s="61">
        <v>1519083</v>
      </c>
      <c r="AH221" s="61">
        <v>1132314</v>
      </c>
      <c r="AI221" s="61">
        <v>0</v>
      </c>
      <c r="AJ221" s="61">
        <v>1132314</v>
      </c>
      <c r="AK221" s="61">
        <v>0</v>
      </c>
      <c r="AL221" s="61">
        <v>386769</v>
      </c>
      <c r="AM221" s="61">
        <v>0</v>
      </c>
      <c r="AN221" s="61">
        <v>16770</v>
      </c>
      <c r="AO221" s="64"/>
      <c r="AP221" s="61">
        <v>0</v>
      </c>
      <c r="AQ221" s="61">
        <v>5103088</v>
      </c>
      <c r="AR221" s="61">
        <v>14216303</v>
      </c>
      <c r="AS221" s="61">
        <v>14216303</v>
      </c>
      <c r="AT221" s="61">
        <v>11919589</v>
      </c>
      <c r="AU221" s="61">
        <v>2296714</v>
      </c>
      <c r="AV221" s="61">
        <v>0</v>
      </c>
      <c r="AW221" s="65">
        <v>0.999</v>
      </c>
      <c r="AX221">
        <f t="shared" si="39"/>
        <v>99900000</v>
      </c>
      <c r="AY221" s="78">
        <f t="shared" si="50"/>
        <v>0.999</v>
      </c>
    </row>
    <row r="222" spans="1:51" x14ac:dyDescent="0.25">
      <c r="A222" s="57"/>
      <c r="B222" s="56" t="s">
        <v>101</v>
      </c>
      <c r="C222" s="57">
        <v>1997.11</v>
      </c>
      <c r="D222" s="54" t="s">
        <v>112</v>
      </c>
      <c r="E222" s="54">
        <v>1000</v>
      </c>
      <c r="F222" s="63">
        <v>1</v>
      </c>
      <c r="G222" s="61">
        <v>10386083</v>
      </c>
      <c r="H222" s="61">
        <f t="shared" si="40"/>
        <v>10386083000</v>
      </c>
      <c r="I222" s="146">
        <f t="shared" si="41"/>
        <v>0.999</v>
      </c>
      <c r="J222" s="61">
        <f t="shared" si="42"/>
        <v>10396479479.479479</v>
      </c>
      <c r="K222" s="61">
        <f t="shared" si="43"/>
        <v>7712581000</v>
      </c>
      <c r="L222" s="61">
        <f t="shared" si="44"/>
        <v>1802436000</v>
      </c>
      <c r="M222" s="61">
        <f t="shared" si="45"/>
        <v>14185581000</v>
      </c>
      <c r="N222" s="86">
        <v>100.8608</v>
      </c>
      <c r="O222" s="80">
        <f t="shared" si="46"/>
        <v>9.904739998096386E-3</v>
      </c>
      <c r="P222" s="61">
        <f t="shared" si="47"/>
        <v>76467577.096354589</v>
      </c>
      <c r="Q222" s="61">
        <f t="shared" si="48"/>
        <v>17870530.473682541</v>
      </c>
      <c r="R222" s="61">
        <f t="shared" si="49"/>
        <v>140645136.66359973</v>
      </c>
      <c r="S222" s="61">
        <v>7712581</v>
      </c>
      <c r="T222" s="61">
        <v>936507</v>
      </c>
      <c r="U222" s="61">
        <v>936507</v>
      </c>
      <c r="V222" s="61">
        <v>0</v>
      </c>
      <c r="W222" s="61">
        <v>936507</v>
      </c>
      <c r="X222" s="61">
        <v>0</v>
      </c>
      <c r="Y222" s="61">
        <v>0</v>
      </c>
      <c r="Z222" s="61">
        <v>0</v>
      </c>
      <c r="AA222" s="61">
        <v>6776074</v>
      </c>
      <c r="AB222" s="61">
        <v>1076720</v>
      </c>
      <c r="AC222" s="61">
        <v>5699354</v>
      </c>
      <c r="AD222" s="61">
        <v>1802436</v>
      </c>
      <c r="AE222" s="61">
        <v>19901100</v>
      </c>
      <c r="AF222" s="61">
        <v>5715519</v>
      </c>
      <c r="AG222" s="61">
        <v>556483</v>
      </c>
      <c r="AH222" s="61">
        <v>214211</v>
      </c>
      <c r="AI222" s="61">
        <v>0</v>
      </c>
      <c r="AJ222" s="61">
        <v>214211</v>
      </c>
      <c r="AK222" s="61">
        <v>0</v>
      </c>
      <c r="AL222" s="61">
        <v>342272</v>
      </c>
      <c r="AM222" s="61">
        <v>0</v>
      </c>
      <c r="AN222" s="61">
        <v>27804</v>
      </c>
      <c r="AO222" s="64"/>
      <c r="AP222" s="61">
        <v>0</v>
      </c>
      <c r="AQ222" s="61">
        <v>5131232</v>
      </c>
      <c r="AR222" s="61">
        <v>14185581</v>
      </c>
      <c r="AS222" s="61">
        <v>14185581</v>
      </c>
      <c r="AT222" s="61">
        <v>11880772</v>
      </c>
      <c r="AU222" s="61">
        <v>2304809</v>
      </c>
      <c r="AV222" s="61">
        <v>0</v>
      </c>
      <c r="AW222" s="65">
        <v>0.999</v>
      </c>
      <c r="AX222">
        <f t="shared" si="39"/>
        <v>99900000</v>
      </c>
      <c r="AY222" s="78">
        <f t="shared" si="50"/>
        <v>0.999</v>
      </c>
    </row>
    <row r="223" spans="1:51" x14ac:dyDescent="0.25">
      <c r="A223" s="57"/>
      <c r="B223" s="56" t="s">
        <v>102</v>
      </c>
      <c r="C223" s="57">
        <v>1997.12</v>
      </c>
      <c r="D223" s="54" t="s">
        <v>112</v>
      </c>
      <c r="E223" s="54">
        <v>1000</v>
      </c>
      <c r="F223" s="63">
        <v>1</v>
      </c>
      <c r="G223" s="61">
        <v>12285733</v>
      </c>
      <c r="H223" s="61">
        <f t="shared" si="40"/>
        <v>12285733000</v>
      </c>
      <c r="I223" s="146">
        <f t="shared" si="41"/>
        <v>0.999</v>
      </c>
      <c r="J223" s="61">
        <f t="shared" si="42"/>
        <v>12298031031.031031</v>
      </c>
      <c r="K223" s="61">
        <f t="shared" si="43"/>
        <v>7867419000</v>
      </c>
      <c r="L223" s="61">
        <f t="shared" si="44"/>
        <v>1794086000</v>
      </c>
      <c r="M223" s="61">
        <f t="shared" si="45"/>
        <v>15965670000</v>
      </c>
      <c r="N223" s="86">
        <v>101.03270000000001</v>
      </c>
      <c r="O223" s="80">
        <f t="shared" si="46"/>
        <v>9.8878877828663392E-3</v>
      </c>
      <c r="P223" s="61">
        <f t="shared" si="47"/>
        <v>77870026.239029542</v>
      </c>
      <c r="Q223" s="61">
        <f t="shared" si="48"/>
        <v>17757478.51933087</v>
      </c>
      <c r="R223" s="61">
        <f t="shared" si="49"/>
        <v>158024778.11639202</v>
      </c>
      <c r="S223" s="61">
        <v>7867419</v>
      </c>
      <c r="T223" s="61">
        <v>954733</v>
      </c>
      <c r="U223" s="61">
        <v>954733</v>
      </c>
      <c r="V223" s="61">
        <v>0</v>
      </c>
      <c r="W223" s="61">
        <v>954733</v>
      </c>
      <c r="X223" s="61">
        <v>0</v>
      </c>
      <c r="Y223" s="61">
        <v>0</v>
      </c>
      <c r="Z223" s="61">
        <v>0</v>
      </c>
      <c r="AA223" s="61">
        <v>6912686</v>
      </c>
      <c r="AB223" s="61">
        <v>1290659</v>
      </c>
      <c r="AC223" s="61">
        <v>5622027</v>
      </c>
      <c r="AD223" s="61">
        <v>1794086</v>
      </c>
      <c r="AE223" s="61">
        <v>21947238</v>
      </c>
      <c r="AF223" s="61">
        <v>5981568</v>
      </c>
      <c r="AG223" s="61">
        <v>668208</v>
      </c>
      <c r="AH223" s="61">
        <v>324735</v>
      </c>
      <c r="AI223" s="61">
        <v>0</v>
      </c>
      <c r="AJ223" s="61">
        <v>324735</v>
      </c>
      <c r="AK223" s="61">
        <v>0</v>
      </c>
      <c r="AL223" s="61">
        <v>343473</v>
      </c>
      <c r="AM223" s="61">
        <v>0</v>
      </c>
      <c r="AN223" s="61">
        <v>8997</v>
      </c>
      <c r="AO223" s="64"/>
      <c r="AP223" s="61">
        <v>0</v>
      </c>
      <c r="AQ223" s="61">
        <v>5304363</v>
      </c>
      <c r="AR223" s="61">
        <v>15965670</v>
      </c>
      <c r="AS223" s="61">
        <v>15965670</v>
      </c>
      <c r="AT223" s="61">
        <v>13325154</v>
      </c>
      <c r="AU223" s="61">
        <v>2640516</v>
      </c>
      <c r="AV223" s="61">
        <v>0</v>
      </c>
      <c r="AW223" s="65">
        <v>0.999</v>
      </c>
      <c r="AX223">
        <f t="shared" si="39"/>
        <v>99900000</v>
      </c>
      <c r="AY223" s="78">
        <f t="shared" si="50"/>
        <v>0.999</v>
      </c>
    </row>
    <row r="224" spans="1:51" x14ac:dyDescent="0.25">
      <c r="A224" s="62">
        <v>1998.01</v>
      </c>
      <c r="B224" s="56" t="s">
        <v>108</v>
      </c>
      <c r="C224" s="57">
        <v>1998.01</v>
      </c>
      <c r="D224" s="54" t="s">
        <v>112</v>
      </c>
      <c r="E224" s="54">
        <v>1000</v>
      </c>
      <c r="F224" s="63">
        <v>1</v>
      </c>
      <c r="G224" s="61">
        <v>10394564.73976</v>
      </c>
      <c r="H224" s="61">
        <f t="shared" si="40"/>
        <v>10394564739.76</v>
      </c>
      <c r="I224" s="146">
        <f t="shared" si="41"/>
        <v>0.999</v>
      </c>
      <c r="J224" s="61">
        <f t="shared" si="42"/>
        <v>10404969709.469469</v>
      </c>
      <c r="K224" s="61">
        <f t="shared" si="43"/>
        <v>8294172000</v>
      </c>
      <c r="L224" s="61">
        <f t="shared" si="44"/>
        <v>1793083415.05</v>
      </c>
      <c r="M224" s="61">
        <f t="shared" si="45"/>
        <v>14714694324.629999</v>
      </c>
      <c r="N224" s="86">
        <v>101.6677</v>
      </c>
      <c r="O224" s="80">
        <f t="shared" si="46"/>
        <v>9.8261296360594372E-3</v>
      </c>
      <c r="P224" s="61">
        <f t="shared" si="47"/>
        <v>81581190.486260638</v>
      </c>
      <c r="Q224" s="61">
        <f t="shared" si="48"/>
        <v>17636706.791340809</v>
      </c>
      <c r="R224" s="61">
        <f t="shared" si="49"/>
        <v>144733227.21601847</v>
      </c>
      <c r="S224" s="61">
        <v>8294172</v>
      </c>
      <c r="T224" s="61">
        <v>1041086</v>
      </c>
      <c r="U224" s="61">
        <v>1041086</v>
      </c>
      <c r="V224" s="61">
        <v>0</v>
      </c>
      <c r="W224" s="61">
        <v>1041086</v>
      </c>
      <c r="X224" s="61">
        <v>0</v>
      </c>
      <c r="Y224" s="61">
        <v>0</v>
      </c>
      <c r="Z224" s="61">
        <v>0</v>
      </c>
      <c r="AA224" s="61">
        <v>7253086</v>
      </c>
      <c r="AB224" s="61">
        <v>1772039</v>
      </c>
      <c r="AC224" s="61">
        <v>5481047</v>
      </c>
      <c r="AD224" s="61">
        <v>1793083.41505</v>
      </c>
      <c r="AE224" s="61">
        <v>20481820.15481</v>
      </c>
      <c r="AF224" s="61">
        <v>5767125.8301800005</v>
      </c>
      <c r="AG224" s="61">
        <v>366609.35631000018</v>
      </c>
      <c r="AH224" s="61">
        <v>74967.533810000197</v>
      </c>
      <c r="AI224" s="61">
        <v>0</v>
      </c>
      <c r="AJ224" s="61">
        <v>74968</v>
      </c>
      <c r="AK224" s="61">
        <v>0</v>
      </c>
      <c r="AL224" s="61">
        <v>291641.82249999995</v>
      </c>
      <c r="AM224" s="61">
        <v>0</v>
      </c>
      <c r="AN224" s="61">
        <v>10822.763440000121</v>
      </c>
      <c r="AO224" s="64"/>
      <c r="AP224" s="61">
        <v>0</v>
      </c>
      <c r="AQ224" s="61">
        <v>5389693.71043</v>
      </c>
      <c r="AR224" s="61">
        <v>14714694.32463</v>
      </c>
      <c r="AS224" s="61">
        <v>14714694.32463</v>
      </c>
      <c r="AT224" s="61">
        <v>12362322.32463</v>
      </c>
      <c r="AU224" s="61">
        <v>2352372</v>
      </c>
      <c r="AV224" s="61">
        <v>0</v>
      </c>
      <c r="AW224" s="65">
        <v>0.999</v>
      </c>
      <c r="AX224">
        <f t="shared" si="39"/>
        <v>99900000</v>
      </c>
      <c r="AY224" s="78">
        <f t="shared" si="50"/>
        <v>0.999</v>
      </c>
    </row>
    <row r="225" spans="1:51" x14ac:dyDescent="0.25">
      <c r="A225" s="57"/>
      <c r="B225" s="56" t="s">
        <v>104</v>
      </c>
      <c r="C225" s="57">
        <v>1998.02</v>
      </c>
      <c r="D225" s="54" t="s">
        <v>112</v>
      </c>
      <c r="E225" s="54">
        <v>1000</v>
      </c>
      <c r="F225" s="63">
        <v>1</v>
      </c>
      <c r="G225" s="61">
        <v>11558617.49309</v>
      </c>
      <c r="H225" s="61">
        <f t="shared" si="40"/>
        <v>11558617493.09</v>
      </c>
      <c r="I225" s="146">
        <f t="shared" si="41"/>
        <v>0.999</v>
      </c>
      <c r="J225" s="61">
        <f t="shared" si="42"/>
        <v>11570187680.770771</v>
      </c>
      <c r="K225" s="61">
        <f t="shared" si="43"/>
        <v>8217154000</v>
      </c>
      <c r="L225" s="61">
        <f t="shared" si="44"/>
        <v>1797795585.5900002</v>
      </c>
      <c r="M225" s="61">
        <f t="shared" si="45"/>
        <v>14574779664.18</v>
      </c>
      <c r="N225" s="86">
        <v>102.0222</v>
      </c>
      <c r="O225" s="80">
        <f t="shared" si="46"/>
        <v>9.7919864500079397E-3</v>
      </c>
      <c r="P225" s="61">
        <f t="shared" si="47"/>
        <v>80542803.429057598</v>
      </c>
      <c r="Q225" s="61">
        <f t="shared" si="48"/>
        <v>17621611.625606976</v>
      </c>
      <c r="R225" s="61">
        <f t="shared" si="49"/>
        <v>142858903.88738921</v>
      </c>
      <c r="S225" s="61">
        <v>8217154</v>
      </c>
      <c r="T225" s="61">
        <v>1039098</v>
      </c>
      <c r="U225" s="61">
        <v>1039098</v>
      </c>
      <c r="V225" s="61">
        <v>0</v>
      </c>
      <c r="W225" s="61">
        <v>1039098</v>
      </c>
      <c r="X225" s="61">
        <v>0</v>
      </c>
      <c r="Y225" s="61">
        <v>0</v>
      </c>
      <c r="Z225" s="61">
        <v>0</v>
      </c>
      <c r="AA225" s="61">
        <v>7178056</v>
      </c>
      <c r="AB225" s="61">
        <v>1705346</v>
      </c>
      <c r="AC225" s="61">
        <v>5472710</v>
      </c>
      <c r="AD225" s="61">
        <v>1797795.5855900003</v>
      </c>
      <c r="AE225" s="61">
        <v>21573567.078680001</v>
      </c>
      <c r="AF225" s="61">
        <v>6998787.4145000037</v>
      </c>
      <c r="AG225" s="61">
        <v>1516899.6424400001</v>
      </c>
      <c r="AH225" s="61">
        <v>1224682.6096900001</v>
      </c>
      <c r="AI225" s="61">
        <v>0</v>
      </c>
      <c r="AJ225" s="61">
        <v>1224683</v>
      </c>
      <c r="AK225" s="61">
        <v>0</v>
      </c>
      <c r="AL225" s="61">
        <v>292217.03274999995</v>
      </c>
      <c r="AM225" s="61">
        <v>0</v>
      </c>
      <c r="AN225" s="61">
        <v>30881.459809999931</v>
      </c>
      <c r="AO225" s="64"/>
      <c r="AP225" s="61">
        <v>0</v>
      </c>
      <c r="AQ225" s="61">
        <v>5451006.3122500032</v>
      </c>
      <c r="AR225" s="61">
        <v>14574779.664179999</v>
      </c>
      <c r="AS225" s="61">
        <v>14574779.664179999</v>
      </c>
      <c r="AT225" s="61">
        <v>12200063.664179999</v>
      </c>
      <c r="AU225" s="61">
        <v>2374716</v>
      </c>
      <c r="AV225" s="61">
        <v>0</v>
      </c>
      <c r="AW225" s="65">
        <v>0.999</v>
      </c>
      <c r="AX225">
        <f t="shared" si="39"/>
        <v>99900000</v>
      </c>
      <c r="AY225" s="78">
        <f t="shared" si="50"/>
        <v>0.999</v>
      </c>
    </row>
    <row r="226" spans="1:51" x14ac:dyDescent="0.25">
      <c r="A226" s="57"/>
      <c r="B226" s="56" t="s">
        <v>105</v>
      </c>
      <c r="C226" s="57">
        <v>1998.03</v>
      </c>
      <c r="D226" s="54" t="s">
        <v>112</v>
      </c>
      <c r="E226" s="54">
        <v>1000</v>
      </c>
      <c r="F226" s="63">
        <v>1</v>
      </c>
      <c r="G226" s="61">
        <v>11486066.144839998</v>
      </c>
      <c r="H226" s="61">
        <f t="shared" si="40"/>
        <v>11486066144.839998</v>
      </c>
      <c r="I226" s="146">
        <f t="shared" si="41"/>
        <v>0.999</v>
      </c>
      <c r="J226" s="61">
        <f t="shared" si="42"/>
        <v>11497563708.548548</v>
      </c>
      <c r="K226" s="61">
        <f t="shared" si="43"/>
        <v>7680736000</v>
      </c>
      <c r="L226" s="61">
        <f t="shared" si="44"/>
        <v>1790350439.1099997</v>
      </c>
      <c r="M226" s="61">
        <f t="shared" si="45"/>
        <v>14484625939.049999</v>
      </c>
      <c r="N226" s="86">
        <v>101.89409999999999</v>
      </c>
      <c r="O226" s="80">
        <f t="shared" si="46"/>
        <v>9.8042968140451704E-3</v>
      </c>
      <c r="P226" s="61">
        <f t="shared" si="47"/>
        <v>75379595.089411467</v>
      </c>
      <c r="Q226" s="61">
        <f t="shared" si="48"/>
        <v>17570697.803994536</v>
      </c>
      <c r="R226" s="61">
        <f t="shared" si="49"/>
        <v>142153725.67253649</v>
      </c>
      <c r="S226" s="61">
        <v>7680736</v>
      </c>
      <c r="T226" s="61">
        <v>1033783</v>
      </c>
      <c r="U226" s="61">
        <v>1033783</v>
      </c>
      <c r="V226" s="61">
        <v>0</v>
      </c>
      <c r="W226" s="61">
        <v>1033783</v>
      </c>
      <c r="X226" s="61">
        <v>0</v>
      </c>
      <c r="Y226" s="61">
        <v>0</v>
      </c>
      <c r="Z226" s="61">
        <v>0</v>
      </c>
      <c r="AA226" s="61">
        <v>6646953</v>
      </c>
      <c r="AB226" s="61">
        <v>0</v>
      </c>
      <c r="AC226" s="61">
        <v>0</v>
      </c>
      <c r="AD226" s="61">
        <v>1790350.4391099997</v>
      </c>
      <c r="AE226" s="61">
        <v>20957152.583949998</v>
      </c>
      <c r="AF226" s="61">
        <v>6472526.6448999979</v>
      </c>
      <c r="AG226" s="61">
        <v>1063713.1946399999</v>
      </c>
      <c r="AH226" s="61">
        <v>763866.31316999998</v>
      </c>
      <c r="AI226" s="61">
        <v>0</v>
      </c>
      <c r="AJ226" s="61">
        <v>763866</v>
      </c>
      <c r="AK226" s="61">
        <v>0</v>
      </c>
      <c r="AL226" s="61">
        <v>299846.88146999996</v>
      </c>
      <c r="AM226" s="61">
        <v>0</v>
      </c>
      <c r="AN226" s="61">
        <v>36339.789759999963</v>
      </c>
      <c r="AO226" s="64"/>
      <c r="AP226" s="61">
        <v>0</v>
      </c>
      <c r="AQ226" s="61">
        <v>5372473.6604999974</v>
      </c>
      <c r="AR226" s="61">
        <v>14484625.93905</v>
      </c>
      <c r="AS226" s="61">
        <v>14484625.93905</v>
      </c>
      <c r="AT226" s="61">
        <v>11878772.93905</v>
      </c>
      <c r="AU226" s="61">
        <v>2605853</v>
      </c>
      <c r="AV226" s="61">
        <v>0</v>
      </c>
      <c r="AW226" s="65">
        <v>0.999</v>
      </c>
      <c r="AX226">
        <f t="shared" si="39"/>
        <v>99900000</v>
      </c>
      <c r="AY226" s="78">
        <f t="shared" si="50"/>
        <v>0.999</v>
      </c>
    </row>
    <row r="227" spans="1:51" x14ac:dyDescent="0.25">
      <c r="A227" s="57"/>
      <c r="B227" s="56" t="s">
        <v>106</v>
      </c>
      <c r="C227" s="57">
        <v>1998.04</v>
      </c>
      <c r="D227" s="54" t="s">
        <v>112</v>
      </c>
      <c r="E227" s="54">
        <v>1000</v>
      </c>
      <c r="F227" s="63">
        <v>1</v>
      </c>
      <c r="G227" s="61">
        <v>11015736.424170004</v>
      </c>
      <c r="H227" s="61">
        <f t="shared" si="40"/>
        <v>11015736424.170004</v>
      </c>
      <c r="I227" s="146">
        <f t="shared" si="41"/>
        <v>0.999</v>
      </c>
      <c r="J227" s="61">
        <f t="shared" si="42"/>
        <v>11026763187.357361</v>
      </c>
      <c r="K227" s="61">
        <f t="shared" si="43"/>
        <v>7990359000</v>
      </c>
      <c r="L227" s="61">
        <f t="shared" si="44"/>
        <v>1793786832.4100001</v>
      </c>
      <c r="M227" s="61">
        <f t="shared" si="45"/>
        <v>14697565490.360001</v>
      </c>
      <c r="N227" s="86">
        <v>101.90560000000001</v>
      </c>
      <c r="O227" s="80">
        <f t="shared" si="46"/>
        <v>9.8031904036677067E-3</v>
      </c>
      <c r="P227" s="61">
        <f t="shared" si="47"/>
        <v>78409420.09075065</v>
      </c>
      <c r="Q227" s="61">
        <f t="shared" si="48"/>
        <v>17602436.298005212</v>
      </c>
      <c r="R227" s="61">
        <f t="shared" si="49"/>
        <v>144227260.23260742</v>
      </c>
      <c r="S227" s="61">
        <v>7990359</v>
      </c>
      <c r="T227" s="61">
        <v>1110266</v>
      </c>
      <c r="U227" s="61">
        <v>1110266</v>
      </c>
      <c r="V227" s="61">
        <v>0</v>
      </c>
      <c r="W227" s="61">
        <v>1110266</v>
      </c>
      <c r="X227" s="61">
        <v>0</v>
      </c>
      <c r="Y227" s="61">
        <v>0</v>
      </c>
      <c r="Z227" s="61">
        <v>0</v>
      </c>
      <c r="AA227" s="61">
        <v>6880093</v>
      </c>
      <c r="AB227" s="61">
        <v>0</v>
      </c>
      <c r="AC227" s="61">
        <v>0</v>
      </c>
      <c r="AD227" s="61">
        <v>1793786.83241</v>
      </c>
      <c r="AE227" s="61">
        <v>20799882.256580003</v>
      </c>
      <c r="AF227" s="61">
        <v>6102316.7662200024</v>
      </c>
      <c r="AG227" s="61">
        <v>631229.86420000019</v>
      </c>
      <c r="AH227" s="61">
        <v>348635.7474500002</v>
      </c>
      <c r="AI227" s="61">
        <v>0</v>
      </c>
      <c r="AJ227" s="61">
        <v>348636</v>
      </c>
      <c r="AK227" s="61">
        <v>0</v>
      </c>
      <c r="AL227" s="61">
        <v>282594.11674999999</v>
      </c>
      <c r="AM227" s="61">
        <v>0</v>
      </c>
      <c r="AN227" s="61">
        <v>25752.97405000043</v>
      </c>
      <c r="AO227" s="64"/>
      <c r="AP227" s="61">
        <v>0</v>
      </c>
      <c r="AQ227" s="61">
        <v>5445333.9279700015</v>
      </c>
      <c r="AR227" s="61">
        <v>14697565.490360001</v>
      </c>
      <c r="AS227" s="61">
        <v>14697565.490360001</v>
      </c>
      <c r="AT227" s="61">
        <v>12229231.490360001</v>
      </c>
      <c r="AU227" s="61">
        <v>2468334</v>
      </c>
      <c r="AV227" s="61">
        <v>0</v>
      </c>
      <c r="AW227" s="65">
        <v>0.999</v>
      </c>
      <c r="AX227">
        <f t="shared" si="39"/>
        <v>99900000</v>
      </c>
      <c r="AY227" s="78">
        <f t="shared" si="50"/>
        <v>0.999</v>
      </c>
    </row>
    <row r="228" spans="1:51" x14ac:dyDescent="0.25">
      <c r="A228" s="57"/>
      <c r="B228" s="56" t="s">
        <v>107</v>
      </c>
      <c r="C228" s="57">
        <v>1998.05</v>
      </c>
      <c r="D228" s="54" t="s">
        <v>112</v>
      </c>
      <c r="E228" s="54">
        <v>1000</v>
      </c>
      <c r="F228" s="63">
        <v>1</v>
      </c>
      <c r="G228" s="61">
        <v>11549854.158780001</v>
      </c>
      <c r="H228" s="61">
        <f t="shared" si="40"/>
        <v>11549854158.780001</v>
      </c>
      <c r="I228" s="146">
        <f t="shared" si="41"/>
        <v>0.999</v>
      </c>
      <c r="J228" s="61">
        <f t="shared" si="42"/>
        <v>11561415574.354355</v>
      </c>
      <c r="K228" s="61">
        <f t="shared" si="43"/>
        <v>7728670000</v>
      </c>
      <c r="L228" s="61">
        <f t="shared" si="44"/>
        <v>1797660241.28</v>
      </c>
      <c r="M228" s="61">
        <f t="shared" si="45"/>
        <v>14721485102.33</v>
      </c>
      <c r="N228" s="86">
        <v>101.83199999999999</v>
      </c>
      <c r="O228" s="80">
        <f t="shared" si="46"/>
        <v>9.8102757482913042E-3</v>
      </c>
      <c r="P228" s="61">
        <f t="shared" si="47"/>
        <v>75896280.147694245</v>
      </c>
      <c r="Q228" s="61">
        <f t="shared" si="48"/>
        <v>17653195.864561237</v>
      </c>
      <c r="R228" s="61">
        <f t="shared" si="49"/>
        <v>144566394.67289263</v>
      </c>
      <c r="S228" s="61">
        <v>7728670</v>
      </c>
      <c r="T228" s="61">
        <v>989101</v>
      </c>
      <c r="U228" s="61">
        <v>989101</v>
      </c>
      <c r="V228" s="61">
        <v>0</v>
      </c>
      <c r="W228" s="61">
        <v>989101</v>
      </c>
      <c r="X228" s="61">
        <v>0</v>
      </c>
      <c r="Y228" s="61">
        <v>0</v>
      </c>
      <c r="Z228" s="61">
        <v>0</v>
      </c>
      <c r="AA228" s="61">
        <v>6739569</v>
      </c>
      <c r="AB228" s="61">
        <v>0</v>
      </c>
      <c r="AC228" s="61">
        <v>0</v>
      </c>
      <c r="AD228" s="61">
        <v>1797660.24128</v>
      </c>
      <c r="AE228" s="61">
        <v>21076184.400060002</v>
      </c>
      <c r="AF228" s="61">
        <v>6354699.2977299998</v>
      </c>
      <c r="AG228" s="61">
        <v>1061618.9767499999</v>
      </c>
      <c r="AH228" s="61">
        <v>779052.88679000002</v>
      </c>
      <c r="AI228" s="61">
        <v>0</v>
      </c>
      <c r="AJ228" s="61">
        <v>779053</v>
      </c>
      <c r="AK228" s="61">
        <v>0</v>
      </c>
      <c r="AL228" s="61">
        <v>282566.08996000001</v>
      </c>
      <c r="AM228" s="61">
        <v>0</v>
      </c>
      <c r="AN228" s="61">
        <v>6889.5122300000003</v>
      </c>
      <c r="AO228" s="64"/>
      <c r="AP228" s="61">
        <v>0</v>
      </c>
      <c r="AQ228" s="61">
        <v>5286190.8087499999</v>
      </c>
      <c r="AR228" s="61">
        <v>14721485.102329999</v>
      </c>
      <c r="AS228" s="61">
        <v>14721485.102329999</v>
      </c>
      <c r="AT228" s="61">
        <v>12269905.102329999</v>
      </c>
      <c r="AU228" s="61">
        <v>2451580</v>
      </c>
      <c r="AV228" s="61">
        <v>0</v>
      </c>
      <c r="AW228" s="65">
        <v>0.999</v>
      </c>
      <c r="AX228">
        <f t="shared" si="39"/>
        <v>99900000</v>
      </c>
      <c r="AY228" s="78">
        <f t="shared" si="50"/>
        <v>0.999</v>
      </c>
    </row>
    <row r="229" spans="1:51" x14ac:dyDescent="0.25">
      <c r="A229" s="57"/>
      <c r="B229" s="56" t="s">
        <v>96</v>
      </c>
      <c r="C229" s="57">
        <v>1998.06</v>
      </c>
      <c r="D229" s="54" t="s">
        <v>112</v>
      </c>
      <c r="E229" s="54">
        <v>1000</v>
      </c>
      <c r="F229" s="63">
        <v>1</v>
      </c>
      <c r="G229" s="61">
        <v>11955070.621339995</v>
      </c>
      <c r="H229" s="61">
        <f t="shared" si="40"/>
        <v>11955070621.339996</v>
      </c>
      <c r="I229" s="146">
        <f t="shared" si="41"/>
        <v>0.999</v>
      </c>
      <c r="J229" s="61">
        <f t="shared" si="42"/>
        <v>11967037658.998995</v>
      </c>
      <c r="K229" s="61">
        <f t="shared" si="43"/>
        <v>7435668000</v>
      </c>
      <c r="L229" s="61">
        <f t="shared" si="44"/>
        <v>1792393780.0800002</v>
      </c>
      <c r="M229" s="61">
        <f t="shared" si="45"/>
        <v>15013179954.280001</v>
      </c>
      <c r="N229" s="86">
        <v>102.0264</v>
      </c>
      <c r="O229" s="80">
        <f t="shared" si="46"/>
        <v>9.7915833548963809E-3</v>
      </c>
      <c r="P229" s="61">
        <f t="shared" si="47"/>
        <v>72879842.864199862</v>
      </c>
      <c r="Q229" s="61">
        <f t="shared" si="48"/>
        <v>17567941.043494627</v>
      </c>
      <c r="R229" s="61">
        <f t="shared" si="49"/>
        <v>147149952.89728934</v>
      </c>
      <c r="S229" s="61">
        <v>7435668</v>
      </c>
      <c r="T229" s="61">
        <v>916629</v>
      </c>
      <c r="U229" s="61">
        <v>916629</v>
      </c>
      <c r="V229" s="61">
        <v>0</v>
      </c>
      <c r="W229" s="61">
        <v>916629</v>
      </c>
      <c r="X229" s="61">
        <v>0</v>
      </c>
      <c r="Y229" s="61">
        <v>0</v>
      </c>
      <c r="Z229" s="61">
        <v>0</v>
      </c>
      <c r="AA229" s="61">
        <v>6519039</v>
      </c>
      <c r="AB229" s="61">
        <v>0</v>
      </c>
      <c r="AC229" s="61">
        <v>0</v>
      </c>
      <c r="AD229" s="61">
        <v>1792393.7800800002</v>
      </c>
      <c r="AE229" s="61">
        <v>21183132.401419997</v>
      </c>
      <c r="AF229" s="61">
        <v>6169952.447139998</v>
      </c>
      <c r="AG229" s="61">
        <v>762165.25745000015</v>
      </c>
      <c r="AH229" s="61">
        <v>482308.43293000024</v>
      </c>
      <c r="AI229" s="61">
        <v>0</v>
      </c>
      <c r="AJ229" s="61">
        <v>482308</v>
      </c>
      <c r="AK229" s="61">
        <v>0</v>
      </c>
      <c r="AL229" s="61">
        <v>279856.82451999997</v>
      </c>
      <c r="AM229" s="61">
        <v>0</v>
      </c>
      <c r="AN229" s="61">
        <v>24992.84445999976</v>
      </c>
      <c r="AO229" s="64"/>
      <c r="AP229" s="61">
        <v>0</v>
      </c>
      <c r="AQ229" s="61">
        <v>5382794.3452299982</v>
      </c>
      <c r="AR229" s="61">
        <v>15013179.95428</v>
      </c>
      <c r="AS229" s="61">
        <v>15013179.95428</v>
      </c>
      <c r="AT229" s="61">
        <v>12223419.95428</v>
      </c>
      <c r="AU229" s="61">
        <v>2789760</v>
      </c>
      <c r="AV229" s="61">
        <v>0</v>
      </c>
      <c r="AW229" s="65">
        <v>0.999</v>
      </c>
      <c r="AX229">
        <f t="shared" si="39"/>
        <v>99900000</v>
      </c>
      <c r="AY229" s="78">
        <f t="shared" si="50"/>
        <v>0.999</v>
      </c>
    </row>
    <row r="230" spans="1:51" x14ac:dyDescent="0.25">
      <c r="A230" s="57"/>
      <c r="B230" s="56" t="s">
        <v>97</v>
      </c>
      <c r="C230" s="57">
        <v>1998.07</v>
      </c>
      <c r="D230" s="54" t="s">
        <v>112</v>
      </c>
      <c r="E230" s="54">
        <v>1000</v>
      </c>
      <c r="F230" s="63">
        <v>1</v>
      </c>
      <c r="G230" s="61">
        <v>14543298.308929998</v>
      </c>
      <c r="H230" s="61">
        <f t="shared" si="40"/>
        <v>14543298308.929998</v>
      </c>
      <c r="I230" s="146">
        <f t="shared" si="41"/>
        <v>0.999</v>
      </c>
      <c r="J230" s="61">
        <f t="shared" si="42"/>
        <v>14557856165.095093</v>
      </c>
      <c r="K230" s="61">
        <f t="shared" si="43"/>
        <v>7299996000</v>
      </c>
      <c r="L230" s="61">
        <f t="shared" si="44"/>
        <v>1793009704.2</v>
      </c>
      <c r="M230" s="61">
        <f t="shared" si="45"/>
        <v>15618517079.08</v>
      </c>
      <c r="N230" s="86">
        <v>102.34529999999999</v>
      </c>
      <c r="O230" s="80">
        <f t="shared" si="46"/>
        <v>9.7610735422144455E-3</v>
      </c>
      <c r="P230" s="61">
        <f t="shared" si="47"/>
        <v>71327124.938810095</v>
      </c>
      <c r="Q230" s="61">
        <f t="shared" si="48"/>
        <v>17519218.803403772</v>
      </c>
      <c r="R230" s="61">
        <f t="shared" si="49"/>
        <v>152606099.9291614</v>
      </c>
      <c r="S230" s="61">
        <v>7299996</v>
      </c>
      <c r="T230" s="61">
        <v>955169</v>
      </c>
      <c r="U230" s="61">
        <v>955169</v>
      </c>
      <c r="V230" s="61">
        <v>0</v>
      </c>
      <c r="W230" s="61">
        <v>955169</v>
      </c>
      <c r="X230" s="61">
        <v>0</v>
      </c>
      <c r="Y230" s="61">
        <v>0</v>
      </c>
      <c r="Z230" s="61">
        <v>0</v>
      </c>
      <c r="AA230" s="61">
        <v>6344827</v>
      </c>
      <c r="AB230" s="61">
        <v>0</v>
      </c>
      <c r="AC230" s="61">
        <v>0</v>
      </c>
      <c r="AD230" s="61">
        <v>1793009.7042</v>
      </c>
      <c r="AE230" s="61">
        <v>23636304.013129998</v>
      </c>
      <c r="AF230" s="61">
        <v>8017786.9340499956</v>
      </c>
      <c r="AG230" s="61">
        <v>2573572.8568100003</v>
      </c>
      <c r="AH230" s="61">
        <v>2292167.1266700001</v>
      </c>
      <c r="AI230" s="61">
        <v>0</v>
      </c>
      <c r="AJ230" s="61">
        <v>2292167</v>
      </c>
      <c r="AK230" s="61">
        <v>0</v>
      </c>
      <c r="AL230" s="61">
        <v>281405.73014</v>
      </c>
      <c r="AM230" s="61">
        <v>0</v>
      </c>
      <c r="AN230" s="61">
        <v>6624.3578399999406</v>
      </c>
      <c r="AO230" s="64"/>
      <c r="AP230" s="61">
        <v>0</v>
      </c>
      <c r="AQ230" s="61">
        <v>5437589.7193999961</v>
      </c>
      <c r="AR230" s="61">
        <v>15618517.079080001</v>
      </c>
      <c r="AS230" s="61">
        <v>15618517.079080001</v>
      </c>
      <c r="AT230" s="61">
        <v>12975611.079080001</v>
      </c>
      <c r="AU230" s="61">
        <v>2642906</v>
      </c>
      <c r="AV230" s="61">
        <v>0</v>
      </c>
      <c r="AW230" s="65">
        <v>0.999</v>
      </c>
      <c r="AX230">
        <f t="shared" si="39"/>
        <v>99900000</v>
      </c>
      <c r="AY230" s="78">
        <f t="shared" si="50"/>
        <v>0.999</v>
      </c>
    </row>
    <row r="231" spans="1:51" x14ac:dyDescent="0.25">
      <c r="A231" s="57"/>
      <c r="B231" s="56" t="s">
        <v>98</v>
      </c>
      <c r="C231" s="57">
        <v>1998.08</v>
      </c>
      <c r="D231" s="54" t="s">
        <v>112</v>
      </c>
      <c r="E231" s="54">
        <v>1000</v>
      </c>
      <c r="F231" s="63">
        <v>1</v>
      </c>
      <c r="G231" s="61">
        <v>12276915.533270005</v>
      </c>
      <c r="H231" s="61">
        <f t="shared" si="40"/>
        <v>12276915533.270004</v>
      </c>
      <c r="I231" s="146">
        <f t="shared" si="41"/>
        <v>0.999</v>
      </c>
      <c r="J231" s="61">
        <f t="shared" si="42"/>
        <v>12289204738.008013</v>
      </c>
      <c r="K231" s="61">
        <f t="shared" si="43"/>
        <v>7082435000</v>
      </c>
      <c r="L231" s="61">
        <f t="shared" si="44"/>
        <v>1782175138.9399998</v>
      </c>
      <c r="M231" s="61">
        <f t="shared" si="45"/>
        <v>15184028143.35</v>
      </c>
      <c r="N231" s="86">
        <v>102.3659</v>
      </c>
      <c r="O231" s="80">
        <f t="shared" si="46"/>
        <v>9.7591092346181688E-3</v>
      </c>
      <c r="P231" s="61">
        <f t="shared" si="47"/>
        <v>69187444.256339267</v>
      </c>
      <c r="Q231" s="61">
        <f t="shared" si="48"/>
        <v>17409851.707844116</v>
      </c>
      <c r="R231" s="61">
        <f t="shared" si="49"/>
        <v>148330920.19266182</v>
      </c>
      <c r="S231" s="61">
        <v>7082435</v>
      </c>
      <c r="T231" s="61">
        <v>895813</v>
      </c>
      <c r="U231" s="61">
        <v>895813</v>
      </c>
      <c r="V231" s="61">
        <v>0</v>
      </c>
      <c r="W231" s="61">
        <v>895813</v>
      </c>
      <c r="X231" s="61">
        <v>0</v>
      </c>
      <c r="Y231" s="61">
        <v>0</v>
      </c>
      <c r="Z231" s="61">
        <v>0</v>
      </c>
      <c r="AA231" s="61">
        <v>6186622</v>
      </c>
      <c r="AB231" s="61">
        <v>0</v>
      </c>
      <c r="AC231" s="61">
        <v>0</v>
      </c>
      <c r="AD231" s="61">
        <v>1782175.1389399997</v>
      </c>
      <c r="AE231" s="61">
        <v>21141525.672210004</v>
      </c>
      <c r="AF231" s="61">
        <v>5957497.5288600065</v>
      </c>
      <c r="AG231" s="61">
        <v>830227.15357000008</v>
      </c>
      <c r="AH231" s="61">
        <v>556191.17936000007</v>
      </c>
      <c r="AI231" s="61">
        <v>0</v>
      </c>
      <c r="AJ231" s="61">
        <v>556191</v>
      </c>
      <c r="AK231" s="61">
        <v>0</v>
      </c>
      <c r="AL231" s="61">
        <v>274035.97420999996</v>
      </c>
      <c r="AM231" s="61">
        <v>0</v>
      </c>
      <c r="AN231" s="61">
        <v>18795.78551999987</v>
      </c>
      <c r="AO231" s="64"/>
      <c r="AP231" s="61">
        <v>0</v>
      </c>
      <c r="AQ231" s="61">
        <v>5108474.589770006</v>
      </c>
      <c r="AR231" s="61">
        <v>15184028.14335</v>
      </c>
      <c r="AS231" s="61">
        <v>15184028.14335</v>
      </c>
      <c r="AT231" s="61">
        <v>12378931.14335</v>
      </c>
      <c r="AU231" s="61">
        <v>2805097</v>
      </c>
      <c r="AV231" s="61">
        <v>0</v>
      </c>
      <c r="AW231" s="65">
        <v>0.999</v>
      </c>
      <c r="AX231">
        <f t="shared" si="39"/>
        <v>99900000</v>
      </c>
      <c r="AY231" s="78">
        <f t="shared" si="50"/>
        <v>0.999</v>
      </c>
    </row>
    <row r="232" spans="1:51" x14ac:dyDescent="0.25">
      <c r="A232" s="57"/>
      <c r="B232" s="56" t="s">
        <v>99</v>
      </c>
      <c r="C232" s="57">
        <v>1998.09</v>
      </c>
      <c r="D232" s="54" t="s">
        <v>112</v>
      </c>
      <c r="E232" s="54">
        <v>1000</v>
      </c>
      <c r="F232" s="63">
        <v>1</v>
      </c>
      <c r="G232" s="61">
        <v>10945218</v>
      </c>
      <c r="H232" s="61">
        <f t="shared" si="40"/>
        <v>10945218000</v>
      </c>
      <c r="I232" s="146">
        <f t="shared" si="41"/>
        <v>0.999</v>
      </c>
      <c r="J232" s="61">
        <f t="shared" si="42"/>
        <v>10956174174.174173</v>
      </c>
      <c r="K232" s="61">
        <f t="shared" si="43"/>
        <v>7663188000</v>
      </c>
      <c r="L232" s="61">
        <f t="shared" si="44"/>
        <v>1972881000</v>
      </c>
      <c r="M232" s="61">
        <f t="shared" si="45"/>
        <v>14373817000</v>
      </c>
      <c r="N232" s="86">
        <v>102.3343</v>
      </c>
      <c r="O232" s="80">
        <f t="shared" si="46"/>
        <v>9.7621227682214082E-3</v>
      </c>
      <c r="P232" s="61">
        <f t="shared" si="47"/>
        <v>74883865.917878956</v>
      </c>
      <c r="Q232" s="61">
        <f t="shared" si="48"/>
        <v>19278785.314405825</v>
      </c>
      <c r="R232" s="61">
        <f t="shared" si="49"/>
        <v>140459425.62757552</v>
      </c>
      <c r="S232" s="61">
        <v>7663188</v>
      </c>
      <c r="T232" s="61">
        <v>1008091</v>
      </c>
      <c r="U232" s="61">
        <v>1008091</v>
      </c>
      <c r="V232" s="61">
        <v>0</v>
      </c>
      <c r="W232" s="61">
        <v>1008091</v>
      </c>
      <c r="X232" s="61">
        <v>0</v>
      </c>
      <c r="Y232" s="61">
        <v>0</v>
      </c>
      <c r="Z232" s="61">
        <v>0</v>
      </c>
      <c r="AA232" s="61">
        <v>6655097</v>
      </c>
      <c r="AB232" s="61">
        <v>0</v>
      </c>
      <c r="AC232" s="61">
        <v>0</v>
      </c>
      <c r="AD232" s="61">
        <v>1972881</v>
      </c>
      <c r="AE232" s="61">
        <v>20581287</v>
      </c>
      <c r="AF232" s="61">
        <v>6207470</v>
      </c>
      <c r="AG232" s="61">
        <v>673815</v>
      </c>
      <c r="AH232" s="61">
        <v>411095</v>
      </c>
      <c r="AI232" s="61">
        <v>0</v>
      </c>
      <c r="AJ232" s="61">
        <v>411095</v>
      </c>
      <c r="AK232" s="61">
        <v>0</v>
      </c>
      <c r="AL232" s="61">
        <v>262720</v>
      </c>
      <c r="AM232" s="61">
        <v>0</v>
      </c>
      <c r="AN232" s="61">
        <v>6833</v>
      </c>
      <c r="AO232" s="64"/>
      <c r="AP232" s="61">
        <v>0</v>
      </c>
      <c r="AQ232" s="61">
        <v>5526822</v>
      </c>
      <c r="AR232" s="61">
        <v>14373817</v>
      </c>
      <c r="AS232" s="61">
        <v>14373817</v>
      </c>
      <c r="AT232" s="61">
        <v>11757104</v>
      </c>
      <c r="AU232" s="61">
        <v>2616713</v>
      </c>
      <c r="AV232" s="61">
        <v>0</v>
      </c>
      <c r="AW232" s="65">
        <v>0.999</v>
      </c>
      <c r="AX232">
        <f t="shared" si="39"/>
        <v>99900000</v>
      </c>
      <c r="AY232" s="78">
        <f t="shared" si="50"/>
        <v>0.999</v>
      </c>
    </row>
    <row r="233" spans="1:51" x14ac:dyDescent="0.25">
      <c r="A233" s="57"/>
      <c r="B233" s="56" t="s">
        <v>100</v>
      </c>
      <c r="C233" s="57">
        <v>1998.1</v>
      </c>
      <c r="D233" s="54" t="s">
        <v>112</v>
      </c>
      <c r="E233" s="54">
        <v>1000</v>
      </c>
      <c r="F233" s="63">
        <v>1</v>
      </c>
      <c r="G233" s="61">
        <v>11196938.454820003</v>
      </c>
      <c r="H233" s="61">
        <f t="shared" si="40"/>
        <v>11196938454.820004</v>
      </c>
      <c r="I233" s="146">
        <f t="shared" si="41"/>
        <v>0.999</v>
      </c>
      <c r="J233" s="61">
        <f t="shared" si="42"/>
        <v>11208146601.421425</v>
      </c>
      <c r="K233" s="61">
        <f t="shared" si="43"/>
        <v>7762471000</v>
      </c>
      <c r="L233" s="61">
        <f t="shared" si="44"/>
        <v>2081166432.4400003</v>
      </c>
      <c r="M233" s="61">
        <f t="shared" si="45"/>
        <v>14320244472.92</v>
      </c>
      <c r="N233" s="86">
        <v>101.9599</v>
      </c>
      <c r="O233" s="80">
        <f t="shared" si="46"/>
        <v>9.7979695939285922E-3</v>
      </c>
      <c r="P233" s="61">
        <f t="shared" si="47"/>
        <v>76132587.419171646</v>
      </c>
      <c r="Q233" s="61">
        <f t="shared" si="48"/>
        <v>20411617.041993961</v>
      </c>
      <c r="R233" s="61">
        <f t="shared" si="49"/>
        <v>140449769.69298714</v>
      </c>
      <c r="S233" s="61">
        <v>7762471</v>
      </c>
      <c r="T233" s="61">
        <v>934585</v>
      </c>
      <c r="U233" s="61">
        <v>934585</v>
      </c>
      <c r="V233" s="61">
        <v>0</v>
      </c>
      <c r="W233" s="61">
        <v>934585</v>
      </c>
      <c r="X233" s="61">
        <v>0</v>
      </c>
      <c r="Y233" s="61">
        <v>0</v>
      </c>
      <c r="Z233" s="61">
        <v>0</v>
      </c>
      <c r="AA233" s="61">
        <v>6827886</v>
      </c>
      <c r="AB233" s="61">
        <v>0</v>
      </c>
      <c r="AC233" s="61">
        <v>0</v>
      </c>
      <c r="AD233" s="61">
        <v>2081166.4324400004</v>
      </c>
      <c r="AE233" s="61">
        <v>21040575.887260005</v>
      </c>
      <c r="AF233" s="61">
        <v>6720331.4143400071</v>
      </c>
      <c r="AG233" s="61">
        <v>1063340.3268400002</v>
      </c>
      <c r="AH233" s="61">
        <v>951672.4305700002</v>
      </c>
      <c r="AI233" s="61">
        <v>0</v>
      </c>
      <c r="AJ233" s="61">
        <v>951672</v>
      </c>
      <c r="AK233" s="61">
        <v>0</v>
      </c>
      <c r="AL233" s="61">
        <v>111667.89626999998</v>
      </c>
      <c r="AM233" s="61">
        <v>0</v>
      </c>
      <c r="AN233" s="61">
        <v>6441.7922099988</v>
      </c>
      <c r="AO233" s="64"/>
      <c r="AP233" s="61">
        <v>0</v>
      </c>
      <c r="AQ233" s="61">
        <v>5650549.2952900082</v>
      </c>
      <c r="AR233" s="61">
        <v>14320244.472920001</v>
      </c>
      <c r="AS233" s="61">
        <v>14320244.472920001</v>
      </c>
      <c r="AT233" s="61">
        <v>11796645.472920001</v>
      </c>
      <c r="AU233" s="61">
        <v>2523599</v>
      </c>
      <c r="AV233" s="61">
        <v>0</v>
      </c>
      <c r="AW233" s="65">
        <v>0.999</v>
      </c>
      <c r="AX233">
        <f t="shared" si="39"/>
        <v>99900000</v>
      </c>
      <c r="AY233" s="78">
        <f t="shared" si="50"/>
        <v>0.999</v>
      </c>
    </row>
    <row r="234" spans="1:51" x14ac:dyDescent="0.25">
      <c r="A234" s="57"/>
      <c r="B234" s="56" t="s">
        <v>101</v>
      </c>
      <c r="C234" s="57">
        <v>1998.11</v>
      </c>
      <c r="D234" s="54" t="s">
        <v>112</v>
      </c>
      <c r="E234" s="54">
        <v>1000</v>
      </c>
      <c r="F234" s="63">
        <v>1</v>
      </c>
      <c r="G234" s="61">
        <v>11648105.120440003</v>
      </c>
      <c r="H234" s="61">
        <f t="shared" si="40"/>
        <v>11648105120.440002</v>
      </c>
      <c r="I234" s="146">
        <f t="shared" si="41"/>
        <v>0.999</v>
      </c>
      <c r="J234" s="61">
        <f t="shared" si="42"/>
        <v>11659764885.325327</v>
      </c>
      <c r="K234" s="61">
        <f t="shared" si="43"/>
        <v>7695381000</v>
      </c>
      <c r="L234" s="61">
        <f t="shared" si="44"/>
        <v>2092268417.4599998</v>
      </c>
      <c r="M234" s="61">
        <f t="shared" si="45"/>
        <v>14493430027.48</v>
      </c>
      <c r="N234" s="86">
        <v>101.7178</v>
      </c>
      <c r="O234" s="80">
        <f t="shared" si="46"/>
        <v>9.8212898824001308E-3</v>
      </c>
      <c r="P234" s="61">
        <f t="shared" si="47"/>
        <v>75654221.778292492</v>
      </c>
      <c r="Q234" s="61">
        <f t="shared" si="48"/>
        <v>20569343.983648878</v>
      </c>
      <c r="R234" s="61">
        <f t="shared" si="49"/>
        <v>142486664.35451809</v>
      </c>
      <c r="S234" s="61">
        <v>7695381</v>
      </c>
      <c r="T234" s="61">
        <v>939393</v>
      </c>
      <c r="U234" s="61">
        <v>939393</v>
      </c>
      <c r="V234" s="61">
        <v>0</v>
      </c>
      <c r="W234" s="61">
        <v>939393</v>
      </c>
      <c r="X234" s="61">
        <v>0</v>
      </c>
      <c r="Y234" s="61">
        <v>0</v>
      </c>
      <c r="Z234" s="61">
        <v>0</v>
      </c>
      <c r="AA234" s="61">
        <v>6755988</v>
      </c>
      <c r="AB234" s="61">
        <v>0</v>
      </c>
      <c r="AC234" s="61">
        <v>0</v>
      </c>
      <c r="AD234" s="61">
        <v>2092268.4174599999</v>
      </c>
      <c r="AE234" s="61">
        <v>21435754.537900001</v>
      </c>
      <c r="AF234" s="61">
        <v>6942324.510420002</v>
      </c>
      <c r="AG234" s="61">
        <v>1297903.7941000001</v>
      </c>
      <c r="AH234" s="61">
        <v>1186029.99859</v>
      </c>
      <c r="AI234" s="61">
        <v>0</v>
      </c>
      <c r="AJ234" s="61">
        <v>1186030</v>
      </c>
      <c r="AK234" s="61">
        <v>0</v>
      </c>
      <c r="AL234" s="61">
        <v>111873.79551</v>
      </c>
      <c r="AM234" s="61">
        <v>0</v>
      </c>
      <c r="AN234" s="61">
        <v>7981.7534100012099</v>
      </c>
      <c r="AO234" s="64"/>
      <c r="AP234" s="61">
        <v>0</v>
      </c>
      <c r="AQ234" s="61">
        <v>5636438.9629100002</v>
      </c>
      <c r="AR234" s="61">
        <v>14493430.027479999</v>
      </c>
      <c r="AS234" s="61">
        <v>14493430.027479999</v>
      </c>
      <c r="AT234" s="61">
        <v>11783379.027479999</v>
      </c>
      <c r="AU234" s="61">
        <v>2710051</v>
      </c>
      <c r="AV234" s="61">
        <v>0</v>
      </c>
      <c r="AW234" s="65">
        <v>0.999</v>
      </c>
      <c r="AX234">
        <f t="shared" si="39"/>
        <v>99900000</v>
      </c>
      <c r="AY234" s="78">
        <f t="shared" si="50"/>
        <v>0.999</v>
      </c>
    </row>
    <row r="235" spans="1:51" x14ac:dyDescent="0.25">
      <c r="A235" s="57"/>
      <c r="B235" s="56" t="s">
        <v>102</v>
      </c>
      <c r="C235" s="57">
        <v>1998.12</v>
      </c>
      <c r="D235" s="54" t="s">
        <v>112</v>
      </c>
      <c r="E235" s="54">
        <v>1000</v>
      </c>
      <c r="F235" s="63">
        <v>1</v>
      </c>
      <c r="G235" s="61">
        <v>14202408</v>
      </c>
      <c r="H235" s="61">
        <f t="shared" si="40"/>
        <v>14202408000</v>
      </c>
      <c r="I235" s="146">
        <f t="shared" si="41"/>
        <v>0.999</v>
      </c>
      <c r="J235" s="61">
        <f t="shared" si="42"/>
        <v>14216624624.624624</v>
      </c>
      <c r="K235" s="61">
        <f t="shared" si="43"/>
        <v>7170011000</v>
      </c>
      <c r="L235" s="61">
        <f t="shared" si="44"/>
        <v>2070196000</v>
      </c>
      <c r="M235" s="61">
        <f t="shared" si="45"/>
        <v>16370167000</v>
      </c>
      <c r="N235" s="86">
        <v>101.70399999999999</v>
      </c>
      <c r="O235" s="80">
        <f t="shared" si="46"/>
        <v>9.8226225123888931E-3</v>
      </c>
      <c r="P235" s="61">
        <f t="shared" si="47"/>
        <v>70498810.272948951</v>
      </c>
      <c r="Q235" s="61">
        <f t="shared" si="48"/>
        <v>20355108.943601038</v>
      </c>
      <c r="R235" s="61">
        <f t="shared" si="49"/>
        <v>160958929.83560136</v>
      </c>
      <c r="S235" s="61">
        <v>7170011</v>
      </c>
      <c r="T235" s="61">
        <v>935745</v>
      </c>
      <c r="U235" s="61">
        <v>935745</v>
      </c>
      <c r="V235" s="61">
        <v>0</v>
      </c>
      <c r="W235" s="61">
        <v>935745</v>
      </c>
      <c r="X235" s="61">
        <v>0</v>
      </c>
      <c r="Y235" s="61">
        <v>0</v>
      </c>
      <c r="Z235" s="61">
        <v>0</v>
      </c>
      <c r="AA235" s="61">
        <v>6234266</v>
      </c>
      <c r="AB235" s="61">
        <v>0</v>
      </c>
      <c r="AC235" s="61">
        <v>0</v>
      </c>
      <c r="AD235" s="61">
        <v>2070196</v>
      </c>
      <c r="AE235" s="61">
        <v>23442615</v>
      </c>
      <c r="AF235" s="61">
        <v>7072448</v>
      </c>
      <c r="AG235" s="61">
        <v>1454750</v>
      </c>
      <c r="AH235" s="61">
        <v>1342896</v>
      </c>
      <c r="AI235" s="61">
        <v>0</v>
      </c>
      <c r="AJ235" s="61">
        <v>1342896</v>
      </c>
      <c r="AK235" s="61">
        <v>0</v>
      </c>
      <c r="AL235" s="61">
        <v>111854</v>
      </c>
      <c r="AM235" s="61">
        <v>0</v>
      </c>
      <c r="AN235" s="61">
        <v>22005</v>
      </c>
      <c r="AO235" s="64"/>
      <c r="AP235" s="61">
        <v>0</v>
      </c>
      <c r="AQ235" s="61">
        <v>5595693</v>
      </c>
      <c r="AR235" s="61">
        <v>16370167</v>
      </c>
      <c r="AS235" s="61">
        <v>16370167</v>
      </c>
      <c r="AT235" s="61">
        <v>13496222</v>
      </c>
      <c r="AU235" s="61">
        <v>2873945</v>
      </c>
      <c r="AV235" s="61">
        <v>0</v>
      </c>
      <c r="AW235" s="65">
        <v>0.999</v>
      </c>
      <c r="AX235">
        <f t="shared" si="39"/>
        <v>99900000</v>
      </c>
      <c r="AY235" s="78">
        <f t="shared" si="50"/>
        <v>0.999</v>
      </c>
    </row>
    <row r="236" spans="1:51" x14ac:dyDescent="0.25">
      <c r="A236" s="62">
        <v>1999.01</v>
      </c>
      <c r="B236" s="56" t="s">
        <v>108</v>
      </c>
      <c r="C236" s="57">
        <v>1999.01</v>
      </c>
      <c r="D236" s="54" t="s">
        <v>112</v>
      </c>
      <c r="E236" s="54">
        <v>1000</v>
      </c>
      <c r="F236" s="63">
        <v>1</v>
      </c>
      <c r="G236" s="61">
        <v>11903553.169550003</v>
      </c>
      <c r="H236" s="61">
        <f t="shared" si="40"/>
        <v>11903553169.550003</v>
      </c>
      <c r="I236" s="146">
        <f t="shared" si="41"/>
        <v>0.999</v>
      </c>
      <c r="J236" s="61">
        <f t="shared" si="42"/>
        <v>11915468638.18819</v>
      </c>
      <c r="K236" s="61">
        <f t="shared" si="43"/>
        <v>7077485000</v>
      </c>
      <c r="L236" s="61">
        <f t="shared" si="44"/>
        <v>2070296111.4399993</v>
      </c>
      <c r="M236" s="61">
        <f t="shared" si="45"/>
        <v>14966805153.65</v>
      </c>
      <c r="N236" s="86">
        <v>102.18340000000001</v>
      </c>
      <c r="O236" s="80">
        <f t="shared" si="46"/>
        <v>9.7765390464596008E-3</v>
      </c>
      <c r="P236" s="61">
        <f t="shared" si="47"/>
        <v>69262571.024256378</v>
      </c>
      <c r="Q236" s="61">
        <f t="shared" si="48"/>
        <v>20260591.362589218</v>
      </c>
      <c r="R236" s="61">
        <f t="shared" si="49"/>
        <v>146470025.01042244</v>
      </c>
      <c r="S236" s="61">
        <v>7077485</v>
      </c>
      <c r="T236" s="61">
        <v>940114</v>
      </c>
      <c r="U236" s="61">
        <v>940114</v>
      </c>
      <c r="V236" s="61">
        <v>0</v>
      </c>
      <c r="W236" s="61">
        <v>940114</v>
      </c>
      <c r="X236" s="61">
        <v>0</v>
      </c>
      <c r="Y236" s="61">
        <v>0</v>
      </c>
      <c r="Z236" s="61">
        <v>0</v>
      </c>
      <c r="AA236" s="61">
        <v>6137371</v>
      </c>
      <c r="AB236" s="61">
        <v>0</v>
      </c>
      <c r="AC236" s="61">
        <v>0</v>
      </c>
      <c r="AD236" s="61">
        <v>2070296.1114399994</v>
      </c>
      <c r="AE236" s="61">
        <v>21051334.280990001</v>
      </c>
      <c r="AF236" s="61">
        <v>6084529.1273400048</v>
      </c>
      <c r="AG236" s="61">
        <v>538598.13634999993</v>
      </c>
      <c r="AH236" s="61">
        <v>424962.44715999998</v>
      </c>
      <c r="AI236" s="61">
        <v>0</v>
      </c>
      <c r="AJ236" s="61">
        <v>424962</v>
      </c>
      <c r="AK236" s="61">
        <v>0</v>
      </c>
      <c r="AL236" s="61">
        <v>113635.68918999998</v>
      </c>
      <c r="AM236" s="61">
        <v>0</v>
      </c>
      <c r="AN236" s="61">
        <v>8367.2388600051308</v>
      </c>
      <c r="AO236" s="64"/>
      <c r="AP236" s="61">
        <v>0</v>
      </c>
      <c r="AQ236" s="61">
        <v>5537563.7521299999</v>
      </c>
      <c r="AR236" s="61">
        <v>14966805.153649999</v>
      </c>
      <c r="AS236" s="61">
        <v>14966805.153649999</v>
      </c>
      <c r="AT236" s="61">
        <v>12366469.153649999</v>
      </c>
      <c r="AU236" s="61">
        <v>2600336</v>
      </c>
      <c r="AV236" s="61">
        <v>0</v>
      </c>
      <c r="AW236" s="65">
        <v>0.999</v>
      </c>
      <c r="AX236">
        <f t="shared" si="39"/>
        <v>99900000</v>
      </c>
      <c r="AY236" s="78">
        <f t="shared" si="50"/>
        <v>0.999</v>
      </c>
    </row>
    <row r="237" spans="1:51" x14ac:dyDescent="0.25">
      <c r="A237" s="57"/>
      <c r="B237" s="56" t="s">
        <v>104</v>
      </c>
      <c r="C237" s="57">
        <v>1999.02</v>
      </c>
      <c r="D237" s="54" t="s">
        <v>112</v>
      </c>
      <c r="E237" s="54">
        <v>1000</v>
      </c>
      <c r="F237" s="63">
        <v>1</v>
      </c>
      <c r="G237" s="61">
        <v>13946619.819980005</v>
      </c>
      <c r="H237" s="61">
        <f t="shared" si="40"/>
        <v>13946619819.980005</v>
      </c>
      <c r="I237" s="146">
        <f t="shared" si="41"/>
        <v>0.999</v>
      </c>
      <c r="J237" s="61">
        <f t="shared" si="42"/>
        <v>13960580400.380386</v>
      </c>
      <c r="K237" s="61">
        <f t="shared" si="43"/>
        <v>7125682000</v>
      </c>
      <c r="L237" s="61">
        <f t="shared" si="44"/>
        <v>2074323038.1799996</v>
      </c>
      <c r="M237" s="61">
        <f t="shared" si="45"/>
        <v>14600133957.15</v>
      </c>
      <c r="N237" s="86">
        <v>102.0193</v>
      </c>
      <c r="O237" s="80">
        <f t="shared" si="46"/>
        <v>9.7922647969550854E-3</v>
      </c>
      <c r="P237" s="61">
        <f t="shared" si="47"/>
        <v>69846411.414310828</v>
      </c>
      <c r="Q237" s="61">
        <f t="shared" si="48"/>
        <v>20332653.11740033</v>
      </c>
      <c r="R237" s="61">
        <f t="shared" si="49"/>
        <v>143111489.2686972</v>
      </c>
      <c r="S237" s="61">
        <v>7125682</v>
      </c>
      <c r="T237" s="61">
        <v>959319</v>
      </c>
      <c r="U237" s="61">
        <v>959319</v>
      </c>
      <c r="V237" s="61">
        <v>0</v>
      </c>
      <c r="W237" s="61">
        <v>959319</v>
      </c>
      <c r="X237" s="61">
        <v>0</v>
      </c>
      <c r="Y237" s="61">
        <v>0</v>
      </c>
      <c r="Z237" s="61">
        <v>0</v>
      </c>
      <c r="AA237" s="61">
        <v>6166363</v>
      </c>
      <c r="AB237" s="61">
        <v>0</v>
      </c>
      <c r="AC237" s="61">
        <v>0</v>
      </c>
      <c r="AD237" s="61">
        <v>2074323.0381799997</v>
      </c>
      <c r="AE237" s="61">
        <v>23146624.858160004</v>
      </c>
      <c r="AF237" s="61">
        <v>8546490.9010100029</v>
      </c>
      <c r="AG237" s="61">
        <v>3045802.3463300001</v>
      </c>
      <c r="AH237" s="61">
        <v>2930253.3926500003</v>
      </c>
      <c r="AI237" s="61">
        <v>0</v>
      </c>
      <c r="AJ237" s="61">
        <v>2930253</v>
      </c>
      <c r="AK237" s="61">
        <v>0</v>
      </c>
      <c r="AL237" s="61">
        <v>115548.95368000001</v>
      </c>
      <c r="AM237" s="61">
        <v>0</v>
      </c>
      <c r="AN237" s="61">
        <v>11636.696539998491</v>
      </c>
      <c r="AO237" s="64"/>
      <c r="AP237" s="61">
        <v>0</v>
      </c>
      <c r="AQ237" s="61">
        <v>5489051.8581400048</v>
      </c>
      <c r="AR237" s="61">
        <v>14600133.957149999</v>
      </c>
      <c r="AS237" s="61">
        <v>14600133.957149999</v>
      </c>
      <c r="AT237" s="61">
        <v>12117987.957149999</v>
      </c>
      <c r="AU237" s="61">
        <v>2482146</v>
      </c>
      <c r="AV237" s="61">
        <v>0</v>
      </c>
      <c r="AW237" s="65">
        <v>0.999</v>
      </c>
      <c r="AX237">
        <f t="shared" si="39"/>
        <v>99900000</v>
      </c>
      <c r="AY237" s="78">
        <f t="shared" si="50"/>
        <v>0.999</v>
      </c>
    </row>
    <row r="238" spans="1:51" x14ac:dyDescent="0.25">
      <c r="A238" s="57"/>
      <c r="B238" s="56" t="s">
        <v>105</v>
      </c>
      <c r="C238" s="57">
        <v>1999.03</v>
      </c>
      <c r="D238" s="54" t="s">
        <v>112</v>
      </c>
      <c r="E238" s="54">
        <v>1000</v>
      </c>
      <c r="F238" s="63">
        <v>1</v>
      </c>
      <c r="G238" s="61">
        <v>12601049.969030004</v>
      </c>
      <c r="H238" s="61">
        <f t="shared" si="40"/>
        <v>12601049969.030005</v>
      </c>
      <c r="I238" s="146">
        <f t="shared" si="41"/>
        <v>0.999</v>
      </c>
      <c r="J238" s="61">
        <f t="shared" si="42"/>
        <v>12613663632.662666</v>
      </c>
      <c r="K238" s="61">
        <f t="shared" si="43"/>
        <v>7090566000</v>
      </c>
      <c r="L238" s="61">
        <f t="shared" si="44"/>
        <v>2124252366.7099998</v>
      </c>
      <c r="M238" s="61">
        <f t="shared" si="45"/>
        <v>14542339082.719999</v>
      </c>
      <c r="N238" s="86">
        <v>101.2533</v>
      </c>
      <c r="O238" s="80">
        <f t="shared" si="46"/>
        <v>9.8663450969005452E-3</v>
      </c>
      <c r="P238" s="61">
        <f t="shared" si="47"/>
        <v>70027999.087437153</v>
      </c>
      <c r="Q238" s="61">
        <f t="shared" si="48"/>
        <v>20979586.509377964</v>
      </c>
      <c r="R238" s="61">
        <f t="shared" si="49"/>
        <v>143623359.26552516</v>
      </c>
      <c r="S238" s="61">
        <v>7090566</v>
      </c>
      <c r="T238" s="61">
        <v>982520</v>
      </c>
      <c r="U238" s="61">
        <v>982520</v>
      </c>
      <c r="V238" s="61">
        <v>0</v>
      </c>
      <c r="W238" s="61">
        <v>982520</v>
      </c>
      <c r="X238" s="61">
        <v>0</v>
      </c>
      <c r="Y238" s="61">
        <v>0</v>
      </c>
      <c r="Z238" s="61">
        <v>0</v>
      </c>
      <c r="AA238" s="61">
        <v>6108046</v>
      </c>
      <c r="AB238" s="61">
        <v>0</v>
      </c>
      <c r="AC238" s="61">
        <v>0</v>
      </c>
      <c r="AD238" s="61">
        <v>2124252.3667099997</v>
      </c>
      <c r="AE238" s="61">
        <v>21815868.335740004</v>
      </c>
      <c r="AF238" s="61">
        <v>7273529.2530200053</v>
      </c>
      <c r="AG238" s="61">
        <v>1648110.7088700002</v>
      </c>
      <c r="AH238" s="61">
        <v>1532969.4219000002</v>
      </c>
      <c r="AI238" s="61">
        <v>0</v>
      </c>
      <c r="AJ238" s="61">
        <v>1532969</v>
      </c>
      <c r="AK238" s="61">
        <v>0</v>
      </c>
      <c r="AL238" s="61">
        <v>115141.28697000002</v>
      </c>
      <c r="AM238" s="61">
        <v>0</v>
      </c>
      <c r="AN238" s="61">
        <v>8853.0600899983019</v>
      </c>
      <c r="AO238" s="64"/>
      <c r="AP238" s="61">
        <v>0</v>
      </c>
      <c r="AQ238" s="61">
        <v>5616565.4840600062</v>
      </c>
      <c r="AR238" s="61">
        <v>14542339.082719998</v>
      </c>
      <c r="AS238" s="61">
        <v>14542339.082719998</v>
      </c>
      <c r="AT238" s="61">
        <v>11885892.082719998</v>
      </c>
      <c r="AU238" s="61">
        <v>2656447</v>
      </c>
      <c r="AV238" s="61">
        <v>0</v>
      </c>
      <c r="AW238" s="65">
        <v>0.999</v>
      </c>
      <c r="AX238">
        <f t="shared" si="39"/>
        <v>99900000</v>
      </c>
      <c r="AY238" s="78">
        <f t="shared" si="50"/>
        <v>0.999</v>
      </c>
    </row>
    <row r="239" spans="1:51" x14ac:dyDescent="0.25">
      <c r="A239" s="57"/>
      <c r="B239" s="56" t="s">
        <v>106</v>
      </c>
      <c r="C239" s="57">
        <v>1999.04</v>
      </c>
      <c r="D239" s="54" t="s">
        <v>112</v>
      </c>
      <c r="E239" s="54">
        <v>1000</v>
      </c>
      <c r="F239" s="63">
        <v>1</v>
      </c>
      <c r="G239" s="61">
        <v>11797646.93065</v>
      </c>
      <c r="H239" s="61">
        <f t="shared" si="40"/>
        <v>11797646930.65</v>
      </c>
      <c r="I239" s="146">
        <f t="shared" si="41"/>
        <v>0.999</v>
      </c>
      <c r="J239" s="61">
        <f t="shared" si="42"/>
        <v>11809456387.037037</v>
      </c>
      <c r="K239" s="61">
        <f t="shared" si="43"/>
        <v>6940272000</v>
      </c>
      <c r="L239" s="61">
        <f t="shared" si="44"/>
        <v>2154633592.1199999</v>
      </c>
      <c r="M239" s="61">
        <f t="shared" si="45"/>
        <v>14271307960.57</v>
      </c>
      <c r="N239" s="86">
        <v>101.1542</v>
      </c>
      <c r="O239" s="80">
        <f t="shared" si="46"/>
        <v>9.8760110801133314E-3</v>
      </c>
      <c r="P239" s="61">
        <f t="shared" si="47"/>
        <v>68610813.984985292</v>
      </c>
      <c r="Q239" s="61">
        <f t="shared" si="48"/>
        <v>21300485.715076584</v>
      </c>
      <c r="R239" s="61">
        <f t="shared" si="49"/>
        <v>141084680.22652543</v>
      </c>
      <c r="S239" s="61">
        <v>6940272</v>
      </c>
      <c r="T239" s="61">
        <v>944517</v>
      </c>
      <c r="U239" s="61">
        <v>944517</v>
      </c>
      <c r="V239" s="61">
        <v>0</v>
      </c>
      <c r="W239" s="61">
        <v>944517</v>
      </c>
      <c r="X239" s="61">
        <v>0</v>
      </c>
      <c r="Y239" s="61">
        <v>0</v>
      </c>
      <c r="Z239" s="61">
        <v>0</v>
      </c>
      <c r="AA239" s="61">
        <v>5995755</v>
      </c>
      <c r="AB239" s="61">
        <v>0</v>
      </c>
      <c r="AC239" s="61">
        <v>0</v>
      </c>
      <c r="AD239" s="61">
        <v>2154633.5921199997</v>
      </c>
      <c r="AE239" s="61">
        <v>20892552.522769999</v>
      </c>
      <c r="AF239" s="61">
        <v>6621244.5621999986</v>
      </c>
      <c r="AG239" s="61">
        <v>768945.2951000001</v>
      </c>
      <c r="AH239" s="61">
        <v>660419.28464000009</v>
      </c>
      <c r="AI239" s="61">
        <v>0</v>
      </c>
      <c r="AJ239" s="61">
        <v>660419</v>
      </c>
      <c r="AK239" s="61">
        <v>0</v>
      </c>
      <c r="AL239" s="61">
        <v>108526.01045999999</v>
      </c>
      <c r="AM239" s="61">
        <v>0</v>
      </c>
      <c r="AN239" s="61">
        <v>68464.896140004581</v>
      </c>
      <c r="AO239" s="64"/>
      <c r="AP239" s="61">
        <v>0</v>
      </c>
      <c r="AQ239" s="61">
        <v>5783834.3709599935</v>
      </c>
      <c r="AR239" s="61">
        <v>14271307.96057</v>
      </c>
      <c r="AS239" s="61">
        <v>14271307.96057</v>
      </c>
      <c r="AT239" s="61">
        <v>11869540.96057</v>
      </c>
      <c r="AU239" s="61">
        <v>2401767</v>
      </c>
      <c r="AV239" s="61">
        <v>0</v>
      </c>
      <c r="AW239" s="65">
        <v>0.999</v>
      </c>
      <c r="AX239">
        <f t="shared" si="39"/>
        <v>99900000</v>
      </c>
      <c r="AY239" s="78">
        <f t="shared" si="50"/>
        <v>0.999</v>
      </c>
    </row>
    <row r="240" spans="1:51" x14ac:dyDescent="0.25">
      <c r="A240" s="57"/>
      <c r="B240" s="56" t="s">
        <v>107</v>
      </c>
      <c r="C240" s="57">
        <v>1999.05</v>
      </c>
      <c r="D240" s="54" t="s">
        <v>112</v>
      </c>
      <c r="E240" s="54">
        <v>1000</v>
      </c>
      <c r="F240" s="63">
        <v>1</v>
      </c>
      <c r="G240" s="61">
        <v>11986693.23206</v>
      </c>
      <c r="H240" s="61">
        <f t="shared" si="40"/>
        <v>11986693232.059999</v>
      </c>
      <c r="I240" s="146">
        <f t="shared" si="41"/>
        <v>0.999</v>
      </c>
      <c r="J240" s="61">
        <f t="shared" si="42"/>
        <v>11998691923.983984</v>
      </c>
      <c r="K240" s="61">
        <f t="shared" si="43"/>
        <v>6920646000</v>
      </c>
      <c r="L240" s="61">
        <f t="shared" si="44"/>
        <v>2205673562.2699995</v>
      </c>
      <c r="M240" s="61">
        <f t="shared" si="45"/>
        <v>14157496151.43</v>
      </c>
      <c r="N240" s="86">
        <v>100.6561</v>
      </c>
      <c r="O240" s="80">
        <f t="shared" si="46"/>
        <v>9.9248828436627294E-3</v>
      </c>
      <c r="P240" s="61">
        <f t="shared" si="47"/>
        <v>68755356.108571663</v>
      </c>
      <c r="Q240" s="61">
        <f t="shared" si="48"/>
        <v>21912964.661555529</v>
      </c>
      <c r="R240" s="61">
        <f t="shared" si="49"/>
        <v>140652142.80535409</v>
      </c>
      <c r="S240" s="61">
        <v>6920646</v>
      </c>
      <c r="T240" s="61">
        <v>900099</v>
      </c>
      <c r="U240" s="61">
        <v>900099</v>
      </c>
      <c r="V240" s="61">
        <v>0</v>
      </c>
      <c r="W240" s="61">
        <v>900099</v>
      </c>
      <c r="X240" s="61">
        <v>0</v>
      </c>
      <c r="Y240" s="61">
        <v>0</v>
      </c>
      <c r="Z240" s="61">
        <v>0</v>
      </c>
      <c r="AA240" s="61">
        <v>6020547</v>
      </c>
      <c r="AB240" s="61">
        <v>0</v>
      </c>
      <c r="AC240" s="61">
        <v>0</v>
      </c>
      <c r="AD240" s="61">
        <v>2205673.5622699996</v>
      </c>
      <c r="AE240" s="61">
        <v>21113012.794330001</v>
      </c>
      <c r="AF240" s="61">
        <v>6955516.6429000003</v>
      </c>
      <c r="AG240" s="61">
        <v>1279323.92582</v>
      </c>
      <c r="AH240" s="61">
        <v>1170078.3034300001</v>
      </c>
      <c r="AI240" s="61">
        <v>0</v>
      </c>
      <c r="AJ240" s="61">
        <v>1170078</v>
      </c>
      <c r="AK240" s="61">
        <v>0</v>
      </c>
      <c r="AL240" s="61">
        <v>109245.62239</v>
      </c>
      <c r="AM240" s="61">
        <v>0</v>
      </c>
      <c r="AN240" s="61">
        <v>64965.852010003815</v>
      </c>
      <c r="AO240" s="64"/>
      <c r="AP240" s="61">
        <v>0</v>
      </c>
      <c r="AQ240" s="61">
        <v>5611226.8650699966</v>
      </c>
      <c r="AR240" s="61">
        <v>14157496.15143</v>
      </c>
      <c r="AS240" s="61">
        <v>14157496.15143</v>
      </c>
      <c r="AT240" s="61">
        <v>11572053.15143</v>
      </c>
      <c r="AU240" s="61">
        <v>2585443</v>
      </c>
      <c r="AV240" s="61">
        <v>0</v>
      </c>
      <c r="AW240" s="65">
        <v>0.999</v>
      </c>
      <c r="AX240">
        <f t="shared" si="39"/>
        <v>99900000</v>
      </c>
      <c r="AY240" s="78">
        <f t="shared" si="50"/>
        <v>0.999</v>
      </c>
    </row>
    <row r="241" spans="1:51" x14ac:dyDescent="0.25">
      <c r="A241" s="57"/>
      <c r="B241" s="56" t="s">
        <v>96</v>
      </c>
      <c r="C241" s="57">
        <v>1999.06</v>
      </c>
      <c r="D241" s="54" t="s">
        <v>112</v>
      </c>
      <c r="E241" s="54">
        <v>1000</v>
      </c>
      <c r="F241" s="63">
        <v>1</v>
      </c>
      <c r="G241" s="61">
        <v>12868536.839850001</v>
      </c>
      <c r="H241" s="61">
        <f t="shared" si="40"/>
        <v>12868536839.85</v>
      </c>
      <c r="I241" s="146">
        <f t="shared" si="41"/>
        <v>0.999</v>
      </c>
      <c r="J241" s="61">
        <f t="shared" si="42"/>
        <v>12881418258.108109</v>
      </c>
      <c r="K241" s="61">
        <f t="shared" si="43"/>
        <v>6689274000</v>
      </c>
      <c r="L241" s="61">
        <f t="shared" si="44"/>
        <v>2201845124.0999994</v>
      </c>
      <c r="M241" s="61">
        <f t="shared" si="45"/>
        <v>14084465905.209999</v>
      </c>
      <c r="N241" s="86">
        <v>100.65</v>
      </c>
      <c r="O241" s="80">
        <f t="shared" si="46"/>
        <v>9.9254843517138595E-3</v>
      </c>
      <c r="P241" s="61">
        <f t="shared" si="47"/>
        <v>66460745.15648286</v>
      </c>
      <c r="Q241" s="61">
        <f t="shared" si="48"/>
        <v>21876255.579731736</v>
      </c>
      <c r="R241" s="61">
        <f t="shared" si="49"/>
        <v>139935081.02543464</v>
      </c>
      <c r="S241" s="61">
        <v>6689274</v>
      </c>
      <c r="T241" s="61">
        <v>925290</v>
      </c>
      <c r="U241" s="61">
        <v>925290</v>
      </c>
      <c r="V241" s="61">
        <v>0</v>
      </c>
      <c r="W241" s="61">
        <v>925290</v>
      </c>
      <c r="X241" s="61">
        <v>0</v>
      </c>
      <c r="Y241" s="61">
        <v>0</v>
      </c>
      <c r="Z241" s="61">
        <v>0</v>
      </c>
      <c r="AA241" s="61">
        <v>5763984</v>
      </c>
      <c r="AB241" s="61">
        <v>0</v>
      </c>
      <c r="AC241" s="61">
        <v>0</v>
      </c>
      <c r="AD241" s="61">
        <v>2201845.1240999992</v>
      </c>
      <c r="AE241" s="61">
        <v>21759655.963950001</v>
      </c>
      <c r="AF241" s="61">
        <v>7675190.0587400021</v>
      </c>
      <c r="AG241" s="61">
        <v>2041212.7589800004</v>
      </c>
      <c r="AH241" s="61">
        <v>1938512.6540300003</v>
      </c>
      <c r="AI241" s="61">
        <v>0</v>
      </c>
      <c r="AJ241" s="61">
        <v>1938513</v>
      </c>
      <c r="AK241" s="61">
        <v>0</v>
      </c>
      <c r="AL241" s="61">
        <v>102700.10495000001</v>
      </c>
      <c r="AM241" s="61">
        <v>0</v>
      </c>
      <c r="AN241" s="61">
        <v>32526.755569997269</v>
      </c>
      <c r="AO241" s="64"/>
      <c r="AP241" s="61">
        <v>0</v>
      </c>
      <c r="AQ241" s="61">
        <v>5601450.5441900045</v>
      </c>
      <c r="AR241" s="61">
        <v>14084465.90521</v>
      </c>
      <c r="AS241" s="61">
        <v>14084465.90521</v>
      </c>
      <c r="AT241" s="61">
        <v>11581021.90521</v>
      </c>
      <c r="AU241" s="61">
        <v>2503444</v>
      </c>
      <c r="AV241" s="61">
        <v>0</v>
      </c>
      <c r="AW241" s="65">
        <v>0.999</v>
      </c>
      <c r="AX241">
        <f t="shared" si="39"/>
        <v>99900000</v>
      </c>
      <c r="AY241" s="78">
        <f t="shared" si="50"/>
        <v>0.999</v>
      </c>
    </row>
    <row r="242" spans="1:51" x14ac:dyDescent="0.25">
      <c r="A242" s="57"/>
      <c r="B242" s="56" t="s">
        <v>97</v>
      </c>
      <c r="C242" s="57">
        <v>1999.07</v>
      </c>
      <c r="D242" s="54" t="s">
        <v>112</v>
      </c>
      <c r="E242" s="54">
        <v>1000</v>
      </c>
      <c r="F242" s="63">
        <v>1</v>
      </c>
      <c r="G242" s="61">
        <v>12006571.207450004</v>
      </c>
      <c r="H242" s="61">
        <f t="shared" si="40"/>
        <v>12006571207.450005</v>
      </c>
      <c r="I242" s="146">
        <f t="shared" si="41"/>
        <v>0.999</v>
      </c>
      <c r="J242" s="61">
        <f t="shared" si="42"/>
        <v>12018589797.247252</v>
      </c>
      <c r="K242" s="61">
        <f t="shared" si="43"/>
        <v>7273203000</v>
      </c>
      <c r="L242" s="61">
        <f t="shared" si="44"/>
        <v>2202891720.5699997</v>
      </c>
      <c r="M242" s="61">
        <f t="shared" si="45"/>
        <v>14731110603.26</v>
      </c>
      <c r="N242" s="86">
        <v>100.83710000000001</v>
      </c>
      <c r="O242" s="80">
        <f t="shared" si="46"/>
        <v>9.9070679343217921E-3</v>
      </c>
      <c r="P242" s="61">
        <f t="shared" si="47"/>
        <v>72128244.465578631</v>
      </c>
      <c r="Q242" s="61">
        <f t="shared" si="48"/>
        <v>21846043.971613619</v>
      </c>
      <c r="R242" s="61">
        <f t="shared" si="49"/>
        <v>146088201.69620109</v>
      </c>
      <c r="S242" s="61">
        <v>7273203</v>
      </c>
      <c r="T242" s="61">
        <v>966356</v>
      </c>
      <c r="U242" s="61">
        <v>966356</v>
      </c>
      <c r="V242" s="61">
        <v>0</v>
      </c>
      <c r="W242" s="61">
        <v>966356</v>
      </c>
      <c r="X242" s="61">
        <v>0</v>
      </c>
      <c r="Y242" s="61">
        <v>0</v>
      </c>
      <c r="Z242" s="61">
        <v>0</v>
      </c>
      <c r="AA242" s="61">
        <v>6306847</v>
      </c>
      <c r="AB242" s="61">
        <v>0</v>
      </c>
      <c r="AC242" s="61">
        <v>0</v>
      </c>
      <c r="AD242" s="61">
        <v>2202891.7205699999</v>
      </c>
      <c r="AE242" s="61">
        <v>21482665.92802</v>
      </c>
      <c r="AF242" s="61">
        <v>6751555.3247600002</v>
      </c>
      <c r="AG242" s="61">
        <v>962522.81698000024</v>
      </c>
      <c r="AH242" s="61">
        <v>859599.79308000021</v>
      </c>
      <c r="AI242" s="61">
        <v>0</v>
      </c>
      <c r="AJ242" s="61">
        <v>859600</v>
      </c>
      <c r="AK242" s="61">
        <v>0</v>
      </c>
      <c r="AL242" s="61">
        <v>102923.0239</v>
      </c>
      <c r="AM242" s="61">
        <v>0</v>
      </c>
      <c r="AN242" s="61">
        <v>59088.232219993552</v>
      </c>
      <c r="AO242" s="64"/>
      <c r="AP242" s="61">
        <v>0</v>
      </c>
      <c r="AQ242" s="61">
        <v>5729944.2755600065</v>
      </c>
      <c r="AR242" s="61">
        <v>14731110.603259999</v>
      </c>
      <c r="AS242" s="61">
        <v>14731110.603259999</v>
      </c>
      <c r="AT242" s="61">
        <v>12278097.603259999</v>
      </c>
      <c r="AU242" s="61">
        <v>2453013</v>
      </c>
      <c r="AV242" s="61">
        <v>0</v>
      </c>
      <c r="AW242" s="65">
        <v>0.999</v>
      </c>
      <c r="AX242">
        <f t="shared" si="39"/>
        <v>99900000</v>
      </c>
      <c r="AY242" s="78">
        <f t="shared" si="50"/>
        <v>0.999</v>
      </c>
    </row>
    <row r="243" spans="1:51" x14ac:dyDescent="0.25">
      <c r="A243" s="57"/>
      <c r="B243" s="56" t="s">
        <v>98</v>
      </c>
      <c r="C243" s="57">
        <v>1999.08</v>
      </c>
      <c r="D243" s="54" t="s">
        <v>112</v>
      </c>
      <c r="E243" s="54">
        <v>1000</v>
      </c>
      <c r="F243" s="63">
        <v>1</v>
      </c>
      <c r="G243" s="61">
        <v>11379638.98872</v>
      </c>
      <c r="H243" s="61">
        <f t="shared" si="40"/>
        <v>11379638988.719999</v>
      </c>
      <c r="I243" s="146">
        <f t="shared" si="41"/>
        <v>0.999</v>
      </c>
      <c r="J243" s="61">
        <f t="shared" si="42"/>
        <v>11391030018.738739</v>
      </c>
      <c r="K243" s="61">
        <f t="shared" si="43"/>
        <v>7791076000</v>
      </c>
      <c r="L243" s="61">
        <f t="shared" si="44"/>
        <v>2203744577.4599996</v>
      </c>
      <c r="M243" s="61">
        <f t="shared" si="45"/>
        <v>14304601539.030001</v>
      </c>
      <c r="N243" s="86">
        <v>100.4575</v>
      </c>
      <c r="O243" s="80">
        <f t="shared" si="46"/>
        <v>9.9445038946818307E-3</v>
      </c>
      <c r="P243" s="61">
        <f t="shared" si="47"/>
        <v>77555941.567329466</v>
      </c>
      <c r="Q243" s="61">
        <f t="shared" si="48"/>
        <v>21937083.617051985</v>
      </c>
      <c r="R243" s="61">
        <f t="shared" si="49"/>
        <v>142394560.27703258</v>
      </c>
      <c r="S243" s="61">
        <v>7791076</v>
      </c>
      <c r="T243" s="61">
        <v>999491</v>
      </c>
      <c r="U243" s="61">
        <v>999491</v>
      </c>
      <c r="V243" s="61">
        <v>0</v>
      </c>
      <c r="W243" s="61">
        <v>999491</v>
      </c>
      <c r="X243" s="61">
        <v>0</v>
      </c>
      <c r="Y243" s="61">
        <v>0</v>
      </c>
      <c r="Z243" s="61">
        <v>0</v>
      </c>
      <c r="AA243" s="61">
        <v>6791585</v>
      </c>
      <c r="AB243" s="61">
        <v>0</v>
      </c>
      <c r="AC243" s="61">
        <v>0</v>
      </c>
      <c r="AD243" s="61">
        <v>2203744.5774599994</v>
      </c>
      <c r="AE243" s="61">
        <v>21374459.566179998</v>
      </c>
      <c r="AF243" s="61">
        <v>7069858.0271499995</v>
      </c>
      <c r="AG243" s="61">
        <v>1177961.3168700002</v>
      </c>
      <c r="AH243" s="61">
        <v>1077508.9946700002</v>
      </c>
      <c r="AI243" s="61">
        <v>0</v>
      </c>
      <c r="AJ243" s="61">
        <v>1077509</v>
      </c>
      <c r="AK243" s="61">
        <v>0</v>
      </c>
      <c r="AL243" s="61">
        <v>100452.32220000001</v>
      </c>
      <c r="AM243" s="61">
        <v>0</v>
      </c>
      <c r="AN243" s="61">
        <v>47713.077519996026</v>
      </c>
      <c r="AO243" s="64"/>
      <c r="AP243" s="61">
        <v>0</v>
      </c>
      <c r="AQ243" s="61">
        <v>5844183.6327600032</v>
      </c>
      <c r="AR243" s="61">
        <v>14304601.539030001</v>
      </c>
      <c r="AS243" s="61">
        <v>14304601.539030001</v>
      </c>
      <c r="AT243" s="61">
        <v>11802015.539030001</v>
      </c>
      <c r="AU243" s="61">
        <v>2502586</v>
      </c>
      <c r="AV243" s="61">
        <v>0</v>
      </c>
      <c r="AW243" s="65">
        <v>0.999</v>
      </c>
      <c r="AX243">
        <f t="shared" si="39"/>
        <v>99900000</v>
      </c>
      <c r="AY243" s="78">
        <f t="shared" si="50"/>
        <v>0.999</v>
      </c>
    </row>
    <row r="244" spans="1:51" x14ac:dyDescent="0.25">
      <c r="A244" s="57"/>
      <c r="B244" s="56" t="s">
        <v>99</v>
      </c>
      <c r="C244" s="57">
        <v>1999.09</v>
      </c>
      <c r="D244" s="54" t="s">
        <v>112</v>
      </c>
      <c r="E244" s="54">
        <v>1000</v>
      </c>
      <c r="F244" s="63">
        <v>1</v>
      </c>
      <c r="G244" s="61">
        <v>11154279.70126</v>
      </c>
      <c r="H244" s="61">
        <f t="shared" si="40"/>
        <v>11154279701.26</v>
      </c>
      <c r="I244" s="146">
        <f t="shared" si="41"/>
        <v>0.999</v>
      </c>
      <c r="J244" s="61">
        <f t="shared" si="42"/>
        <v>11165445146.406406</v>
      </c>
      <c r="K244" s="61">
        <f t="shared" si="43"/>
        <v>7921533000</v>
      </c>
      <c r="L244" s="61">
        <f t="shared" si="44"/>
        <v>2207964021.9500003</v>
      </c>
      <c r="M244" s="61">
        <f t="shared" si="45"/>
        <v>13938606128.25</v>
      </c>
      <c r="N244" s="86">
        <v>100.2574</v>
      </c>
      <c r="O244" s="80">
        <f t="shared" si="46"/>
        <v>9.9643517585734313E-3</v>
      </c>
      <c r="P244" s="61">
        <f t="shared" si="47"/>
        <v>79011953.232379854</v>
      </c>
      <c r="Q244" s="61">
        <f t="shared" si="48"/>
        <v>22022953.138122473</v>
      </c>
      <c r="R244" s="61">
        <f t="shared" si="49"/>
        <v>139028202.68877909</v>
      </c>
      <c r="S244" s="61">
        <v>7921533</v>
      </c>
      <c r="T244" s="61">
        <v>996326</v>
      </c>
      <c r="U244" s="61">
        <v>996326</v>
      </c>
      <c r="V244" s="61">
        <v>0</v>
      </c>
      <c r="W244" s="61">
        <v>996326</v>
      </c>
      <c r="X244" s="61">
        <v>0</v>
      </c>
      <c r="Y244" s="61">
        <v>0</v>
      </c>
      <c r="Z244" s="61">
        <v>0</v>
      </c>
      <c r="AA244" s="61">
        <v>6925207</v>
      </c>
      <c r="AB244" s="61">
        <v>0</v>
      </c>
      <c r="AC244" s="61">
        <v>0</v>
      </c>
      <c r="AD244" s="61">
        <v>2207964.0219500004</v>
      </c>
      <c r="AE244" s="61">
        <v>21283776.72321</v>
      </c>
      <c r="AF244" s="61">
        <v>7345170.5949599985</v>
      </c>
      <c r="AG244" s="61">
        <v>1505897.3630399997</v>
      </c>
      <c r="AH244" s="61">
        <v>1404298.3988799998</v>
      </c>
      <c r="AI244" s="61">
        <v>0</v>
      </c>
      <c r="AJ244" s="61">
        <v>1404298</v>
      </c>
      <c r="AK244" s="61">
        <v>0</v>
      </c>
      <c r="AL244" s="61">
        <v>101598.96416000002</v>
      </c>
      <c r="AM244" s="61">
        <v>0</v>
      </c>
      <c r="AN244" s="61">
        <v>48065.876599988624</v>
      </c>
      <c r="AO244" s="64"/>
      <c r="AP244" s="61">
        <v>0</v>
      </c>
      <c r="AQ244" s="61">
        <v>5791207.3553200103</v>
      </c>
      <c r="AR244" s="61">
        <v>13938606.128249999</v>
      </c>
      <c r="AS244" s="61">
        <v>13938606.128249999</v>
      </c>
      <c r="AT244" s="61">
        <v>11600266.128249999</v>
      </c>
      <c r="AU244" s="61">
        <v>2338340</v>
      </c>
      <c r="AV244" s="61">
        <v>0</v>
      </c>
      <c r="AW244" s="65">
        <v>0.999</v>
      </c>
      <c r="AX244">
        <f t="shared" si="39"/>
        <v>99900000</v>
      </c>
      <c r="AY244" s="78">
        <f t="shared" si="50"/>
        <v>0.999</v>
      </c>
    </row>
    <row r="245" spans="1:51" x14ac:dyDescent="0.25">
      <c r="A245" s="57"/>
      <c r="B245" s="56" t="s">
        <v>100</v>
      </c>
      <c r="C245" s="57">
        <v>1999.1</v>
      </c>
      <c r="D245" s="54" t="s">
        <v>112</v>
      </c>
      <c r="E245" s="54">
        <v>1000</v>
      </c>
      <c r="F245" s="63">
        <v>1</v>
      </c>
      <c r="G245" s="61">
        <v>12702640.78974</v>
      </c>
      <c r="H245" s="61">
        <f t="shared" si="40"/>
        <v>12702640789.74</v>
      </c>
      <c r="I245" s="146">
        <f t="shared" si="41"/>
        <v>0.999</v>
      </c>
      <c r="J245" s="61">
        <f t="shared" si="42"/>
        <v>12715356145.885885</v>
      </c>
      <c r="K245" s="61">
        <f t="shared" si="43"/>
        <v>6882333000</v>
      </c>
      <c r="L245" s="61">
        <f t="shared" si="44"/>
        <v>2210544738.1600003</v>
      </c>
      <c r="M245" s="61">
        <f t="shared" si="45"/>
        <v>13921215546.959999</v>
      </c>
      <c r="N245" s="86">
        <v>100.24169999999999</v>
      </c>
      <c r="O245" s="80">
        <f t="shared" si="46"/>
        <v>9.9659123897539656E-3</v>
      </c>
      <c r="P245" s="61">
        <f t="shared" si="47"/>
        <v>68657385.100212783</v>
      </c>
      <c r="Q245" s="61">
        <f t="shared" si="48"/>
        <v>22052147.341475658</v>
      </c>
      <c r="R245" s="61">
        <f t="shared" si="49"/>
        <v>138876490.99087507</v>
      </c>
      <c r="S245" s="61">
        <v>6882333</v>
      </c>
      <c r="T245" s="61">
        <v>1002885</v>
      </c>
      <c r="U245" s="61">
        <v>1002885</v>
      </c>
      <c r="V245" s="61">
        <v>0</v>
      </c>
      <c r="W245" s="61">
        <v>1002885</v>
      </c>
      <c r="X245" s="61">
        <v>0</v>
      </c>
      <c r="Y245" s="61">
        <v>0</v>
      </c>
      <c r="Z245" s="61">
        <v>0</v>
      </c>
      <c r="AA245" s="61">
        <v>5879448</v>
      </c>
      <c r="AB245" s="61">
        <v>0</v>
      </c>
      <c r="AC245" s="61">
        <v>0</v>
      </c>
      <c r="AD245" s="61">
        <v>2210544.7381600002</v>
      </c>
      <c r="AE245" s="61">
        <v>21795518.527899999</v>
      </c>
      <c r="AF245" s="61">
        <v>7874302.9809399964</v>
      </c>
      <c r="AG245" s="61">
        <v>1973867.1501500001</v>
      </c>
      <c r="AH245" s="61">
        <v>1872326.3756900001</v>
      </c>
      <c r="AI245" s="61">
        <v>0</v>
      </c>
      <c r="AJ245" s="61">
        <v>1872326</v>
      </c>
      <c r="AK245" s="61">
        <v>0</v>
      </c>
      <c r="AL245" s="61">
        <v>101540.77446000002</v>
      </c>
      <c r="AM245" s="61">
        <v>0</v>
      </c>
      <c r="AN245" s="61">
        <v>50750.002339991064</v>
      </c>
      <c r="AO245" s="64"/>
      <c r="AP245" s="61">
        <v>0</v>
      </c>
      <c r="AQ245" s="61">
        <v>5849685.8284500055</v>
      </c>
      <c r="AR245" s="61">
        <v>13921215.54696</v>
      </c>
      <c r="AS245" s="61">
        <v>13921215.54696</v>
      </c>
      <c r="AT245" s="61">
        <v>11671369.54696</v>
      </c>
      <c r="AU245" s="61">
        <v>2249846</v>
      </c>
      <c r="AV245" s="61">
        <v>0</v>
      </c>
      <c r="AW245" s="65">
        <v>0.999</v>
      </c>
      <c r="AX245">
        <f t="shared" si="39"/>
        <v>99900000</v>
      </c>
      <c r="AY245" s="78">
        <f t="shared" si="50"/>
        <v>0.999</v>
      </c>
    </row>
    <row r="246" spans="1:51" x14ac:dyDescent="0.25">
      <c r="A246" s="57"/>
      <c r="B246" s="56" t="s">
        <v>101</v>
      </c>
      <c r="C246" s="57">
        <v>1999.11</v>
      </c>
      <c r="D246" s="54" t="s">
        <v>112</v>
      </c>
      <c r="E246" s="54">
        <v>1000</v>
      </c>
      <c r="F246" s="63">
        <v>1</v>
      </c>
      <c r="G246" s="61">
        <v>13414581.250259999</v>
      </c>
      <c r="H246" s="61">
        <f t="shared" si="40"/>
        <v>13414581250.259998</v>
      </c>
      <c r="I246" s="146">
        <f t="shared" si="41"/>
        <v>0.999</v>
      </c>
      <c r="J246" s="61">
        <f t="shared" si="42"/>
        <v>13428009259.519518</v>
      </c>
      <c r="K246" s="61">
        <f t="shared" si="43"/>
        <v>6377591000</v>
      </c>
      <c r="L246" s="61">
        <f t="shared" si="44"/>
        <v>2210788379.5800004</v>
      </c>
      <c r="M246" s="61">
        <f t="shared" si="45"/>
        <v>13869860682.120001</v>
      </c>
      <c r="N246" s="86">
        <v>99.924800000000005</v>
      </c>
      <c r="O246" s="80">
        <f t="shared" si="46"/>
        <v>9.9975181336364946E-3</v>
      </c>
      <c r="P246" s="61">
        <f t="shared" si="47"/>
        <v>63823905.576993898</v>
      </c>
      <c r="Q246" s="61">
        <f t="shared" si="48"/>
        <v>22124521.435919814</v>
      </c>
      <c r="R246" s="61">
        <f t="shared" si="49"/>
        <v>138802986.66717371</v>
      </c>
      <c r="S246" s="61">
        <v>6377591</v>
      </c>
      <c r="T246" s="61">
        <v>1025356</v>
      </c>
      <c r="U246" s="61">
        <v>1025356</v>
      </c>
      <c r="V246" s="61">
        <v>0</v>
      </c>
      <c r="W246" s="61">
        <v>1025356</v>
      </c>
      <c r="X246" s="61">
        <v>0</v>
      </c>
      <c r="Y246" s="61">
        <v>0</v>
      </c>
      <c r="Z246" s="61">
        <v>0</v>
      </c>
      <c r="AA246" s="61">
        <v>5352235</v>
      </c>
      <c r="AB246" s="61">
        <v>0</v>
      </c>
      <c r="AC246" s="61">
        <v>0</v>
      </c>
      <c r="AD246" s="61">
        <v>2210788.3795800004</v>
      </c>
      <c r="AE246" s="61">
        <v>22002960.629840001</v>
      </c>
      <c r="AF246" s="61">
        <v>8133099.9477200005</v>
      </c>
      <c r="AG246" s="61">
        <v>2299056.5147600002</v>
      </c>
      <c r="AH246" s="61">
        <v>2197192.6401300002</v>
      </c>
      <c r="AI246" s="61">
        <v>0</v>
      </c>
      <c r="AJ246" s="61">
        <v>2197193</v>
      </c>
      <c r="AK246" s="61">
        <v>0</v>
      </c>
      <c r="AL246" s="61">
        <v>101863.87462999999</v>
      </c>
      <c r="AM246" s="61">
        <v>0</v>
      </c>
      <c r="AN246" s="61">
        <v>51015.035099989</v>
      </c>
      <c r="AO246" s="64"/>
      <c r="AP246" s="61">
        <v>0</v>
      </c>
      <c r="AQ246" s="61">
        <v>5783028.3978600111</v>
      </c>
      <c r="AR246" s="61">
        <v>13869860.682120001</v>
      </c>
      <c r="AS246" s="61">
        <v>13869860.682120001</v>
      </c>
      <c r="AT246" s="61">
        <v>11423480.682120001</v>
      </c>
      <c r="AU246" s="61">
        <v>2446380</v>
      </c>
      <c r="AV246" s="61">
        <v>0</v>
      </c>
      <c r="AW246" s="65">
        <v>0.999</v>
      </c>
      <c r="AX246">
        <f t="shared" si="39"/>
        <v>99900000</v>
      </c>
      <c r="AY246" s="78">
        <f t="shared" si="50"/>
        <v>0.999</v>
      </c>
    </row>
    <row r="247" spans="1:51" x14ac:dyDescent="0.25">
      <c r="A247" s="57"/>
      <c r="B247" s="56" t="s">
        <v>102</v>
      </c>
      <c r="C247" s="57">
        <v>1999.12</v>
      </c>
      <c r="D247" s="54" t="s">
        <v>112</v>
      </c>
      <c r="E247" s="54">
        <v>1000</v>
      </c>
      <c r="F247" s="63">
        <v>1</v>
      </c>
      <c r="G247" s="61">
        <v>14820060.218460005</v>
      </c>
      <c r="H247" s="61">
        <f t="shared" si="40"/>
        <v>14820060218.460005</v>
      </c>
      <c r="I247" s="146">
        <f t="shared" si="41"/>
        <v>0.999</v>
      </c>
      <c r="J247" s="61">
        <f t="shared" si="42"/>
        <v>14834895113.573578</v>
      </c>
      <c r="K247" s="61">
        <f t="shared" si="43"/>
        <v>6350164000</v>
      </c>
      <c r="L247" s="61">
        <f t="shared" si="44"/>
        <v>2160471201.8600001</v>
      </c>
      <c r="M247" s="61">
        <f t="shared" si="45"/>
        <v>16492773517.41</v>
      </c>
      <c r="N247" s="86">
        <v>99.862700000000004</v>
      </c>
      <c r="O247" s="80">
        <f t="shared" si="46"/>
        <v>1.0003735128331198E-2</v>
      </c>
      <c r="P247" s="61">
        <f t="shared" si="47"/>
        <v>63588947.625089243</v>
      </c>
      <c r="Q247" s="61">
        <f t="shared" si="48"/>
        <v>21634416.071866672</v>
      </c>
      <c r="R247" s="61">
        <f t="shared" si="49"/>
        <v>165154492.29201692</v>
      </c>
      <c r="S247" s="61">
        <v>6350164</v>
      </c>
      <c r="T247" s="61">
        <v>992115</v>
      </c>
      <c r="U247" s="61">
        <v>992115</v>
      </c>
      <c r="V247" s="61">
        <v>0</v>
      </c>
      <c r="W247" s="61">
        <v>992115</v>
      </c>
      <c r="X247" s="61">
        <v>0</v>
      </c>
      <c r="Y247" s="61">
        <v>0</v>
      </c>
      <c r="Z247" s="61">
        <v>0</v>
      </c>
      <c r="AA247" s="61">
        <v>5358049</v>
      </c>
      <c r="AB247" s="61">
        <v>0</v>
      </c>
      <c r="AC247" s="61">
        <v>0</v>
      </c>
      <c r="AD247" s="61">
        <v>2160471.2018599999</v>
      </c>
      <c r="AE247" s="61">
        <v>23330695.420320004</v>
      </c>
      <c r="AF247" s="61">
        <v>6837921.9029100034</v>
      </c>
      <c r="AG247" s="61">
        <v>960823.21</v>
      </c>
      <c r="AH247" s="61">
        <v>935450.77788000007</v>
      </c>
      <c r="AI247" s="61">
        <v>0</v>
      </c>
      <c r="AJ247" s="61">
        <v>935451</v>
      </c>
      <c r="AK247" s="61">
        <v>0</v>
      </c>
      <c r="AL247" s="61">
        <v>25372.432120000001</v>
      </c>
      <c r="AM247" s="61">
        <v>0</v>
      </c>
      <c r="AN247" s="61">
        <v>31458.836649990208</v>
      </c>
      <c r="AO247" s="64"/>
      <c r="AP247" s="61">
        <v>0</v>
      </c>
      <c r="AQ247" s="61">
        <v>5845639.8562600128</v>
      </c>
      <c r="AR247" s="61">
        <v>16492773.517409999</v>
      </c>
      <c r="AS247" s="61">
        <v>16492773.517409999</v>
      </c>
      <c r="AT247" s="61">
        <v>13721412.517409999</v>
      </c>
      <c r="AU247" s="61">
        <v>2771361</v>
      </c>
      <c r="AV247" s="61">
        <v>0</v>
      </c>
      <c r="AW247" s="65">
        <v>0.999</v>
      </c>
      <c r="AX247">
        <f t="shared" si="39"/>
        <v>99900000</v>
      </c>
      <c r="AY247" s="78">
        <f t="shared" si="50"/>
        <v>0.999</v>
      </c>
    </row>
    <row r="248" spans="1:51" x14ac:dyDescent="0.25">
      <c r="A248" s="62">
        <v>2000.01</v>
      </c>
      <c r="B248" s="56" t="s">
        <v>108</v>
      </c>
      <c r="C248" s="57">
        <v>2000.01</v>
      </c>
      <c r="D248" s="54" t="s">
        <v>112</v>
      </c>
      <c r="E248" s="54">
        <v>1000</v>
      </c>
      <c r="F248" s="63">
        <v>1</v>
      </c>
      <c r="G248" s="61">
        <v>13382847</v>
      </c>
      <c r="H248" s="61">
        <f t="shared" si="40"/>
        <v>13382847000</v>
      </c>
      <c r="I248" s="146">
        <f t="shared" si="41"/>
        <v>0.999</v>
      </c>
      <c r="J248" s="61">
        <f t="shared" si="42"/>
        <v>13396243243.243244</v>
      </c>
      <c r="K248" s="61">
        <f t="shared" si="43"/>
        <v>6064107000</v>
      </c>
      <c r="L248" s="61">
        <f t="shared" si="44"/>
        <v>2158292000</v>
      </c>
      <c r="M248" s="61">
        <f t="shared" si="45"/>
        <v>14588595000</v>
      </c>
      <c r="N248" s="86">
        <v>100.7068</v>
      </c>
      <c r="O248" s="80">
        <f t="shared" si="46"/>
        <v>9.9198862440272161E-3</v>
      </c>
      <c r="P248" s="61">
        <f t="shared" si="47"/>
        <v>60215467.078687832</v>
      </c>
      <c r="Q248" s="61">
        <f t="shared" si="48"/>
        <v>21431442.563957945</v>
      </c>
      <c r="R248" s="61">
        <f t="shared" si="49"/>
        <v>144862064.92510933</v>
      </c>
      <c r="S248" s="61">
        <v>6064107</v>
      </c>
      <c r="T248" s="61">
        <v>1018481</v>
      </c>
      <c r="U248" s="61">
        <v>1018481</v>
      </c>
      <c r="V248" s="61">
        <v>0</v>
      </c>
      <c r="W248" s="61">
        <v>1018481</v>
      </c>
      <c r="X248" s="61">
        <v>0</v>
      </c>
      <c r="Y248" s="61">
        <v>0</v>
      </c>
      <c r="Z248" s="61">
        <v>0</v>
      </c>
      <c r="AA248" s="61">
        <v>5045626</v>
      </c>
      <c r="AB248" s="61">
        <v>0</v>
      </c>
      <c r="AC248" s="61">
        <v>0</v>
      </c>
      <c r="AD248" s="61">
        <v>2158292</v>
      </c>
      <c r="AE248" s="61">
        <v>21605246</v>
      </c>
      <c r="AF248" s="61">
        <v>7016651</v>
      </c>
      <c r="AG248" s="61">
        <v>1051828</v>
      </c>
      <c r="AH248" s="61">
        <v>1025719</v>
      </c>
      <c r="AI248" s="61">
        <v>0</v>
      </c>
      <c r="AJ248" s="61">
        <v>1025719</v>
      </c>
      <c r="AK248" s="61">
        <v>0</v>
      </c>
      <c r="AL248" s="61">
        <v>26109</v>
      </c>
      <c r="AM248" s="61">
        <v>0</v>
      </c>
      <c r="AN248" s="61">
        <v>48406</v>
      </c>
      <c r="AO248" s="64"/>
      <c r="AP248" s="61">
        <v>0</v>
      </c>
      <c r="AQ248" s="61">
        <v>5916417</v>
      </c>
      <c r="AR248" s="61">
        <v>14588595</v>
      </c>
      <c r="AS248" s="61">
        <v>14588595</v>
      </c>
      <c r="AT248" s="61">
        <v>12085617</v>
      </c>
      <c r="AU248" s="61">
        <v>2502978</v>
      </c>
      <c r="AV248" s="61">
        <v>0</v>
      </c>
      <c r="AW248" s="65">
        <v>0.999</v>
      </c>
      <c r="AX248">
        <f t="shared" si="39"/>
        <v>99900000</v>
      </c>
      <c r="AY248" s="78">
        <f t="shared" si="50"/>
        <v>0.999</v>
      </c>
    </row>
    <row r="249" spans="1:51" x14ac:dyDescent="0.25">
      <c r="A249" s="57"/>
      <c r="B249" s="56" t="s">
        <v>104</v>
      </c>
      <c r="C249" s="57">
        <v>2000.02</v>
      </c>
      <c r="D249" s="54" t="s">
        <v>112</v>
      </c>
      <c r="E249" s="54">
        <v>1000</v>
      </c>
      <c r="F249" s="63">
        <v>1</v>
      </c>
      <c r="G249" s="61">
        <v>13205487.683029998</v>
      </c>
      <c r="H249" s="61">
        <f t="shared" si="40"/>
        <v>13205487683.029999</v>
      </c>
      <c r="I249" s="146">
        <f t="shared" si="41"/>
        <v>0.999</v>
      </c>
      <c r="J249" s="61">
        <f t="shared" si="42"/>
        <v>13218706389.419418</v>
      </c>
      <c r="K249" s="61">
        <f t="shared" si="43"/>
        <v>5970559000</v>
      </c>
      <c r="L249" s="61">
        <f t="shared" si="44"/>
        <v>2156540983.9099998</v>
      </c>
      <c r="M249" s="61">
        <f t="shared" si="45"/>
        <v>13988871586.190001</v>
      </c>
      <c r="N249" s="86">
        <v>100.7109</v>
      </c>
      <c r="O249" s="80">
        <f t="shared" si="46"/>
        <v>9.9194823996210935E-3</v>
      </c>
      <c r="P249" s="61">
        <f t="shared" si="47"/>
        <v>59284139.055454776</v>
      </c>
      <c r="Q249" s="61">
        <f t="shared" si="48"/>
        <v>21413183.517474275</v>
      </c>
      <c r="R249" s="61">
        <f t="shared" si="49"/>
        <v>138901266.75652784</v>
      </c>
      <c r="S249" s="61">
        <v>5970559</v>
      </c>
      <c r="T249" s="61">
        <v>975992</v>
      </c>
      <c r="U249" s="61">
        <v>975992</v>
      </c>
      <c r="V249" s="61">
        <v>0</v>
      </c>
      <c r="W249" s="61">
        <v>975992</v>
      </c>
      <c r="X249" s="61">
        <v>0</v>
      </c>
      <c r="Y249" s="61">
        <v>0</v>
      </c>
      <c r="Z249" s="61">
        <v>0</v>
      </c>
      <c r="AA249" s="61">
        <v>4994567</v>
      </c>
      <c r="AB249" s="61">
        <v>0</v>
      </c>
      <c r="AC249" s="61">
        <v>0</v>
      </c>
      <c r="AD249" s="61">
        <v>2156540.98391</v>
      </c>
      <c r="AE249" s="61">
        <v>21332587.666939996</v>
      </c>
      <c r="AF249" s="61">
        <v>7343716.0807499941</v>
      </c>
      <c r="AG249" s="61">
        <v>1228600.6747700002</v>
      </c>
      <c r="AH249" s="61">
        <v>1204435.2603600002</v>
      </c>
      <c r="AI249" s="61">
        <v>0</v>
      </c>
      <c r="AJ249" s="61">
        <v>1204435</v>
      </c>
      <c r="AK249" s="61">
        <v>0</v>
      </c>
      <c r="AL249" s="61">
        <v>24165.414410000001</v>
      </c>
      <c r="AM249" s="61">
        <v>0</v>
      </c>
      <c r="AN249" s="61">
        <v>48754.621690004904</v>
      </c>
      <c r="AO249" s="64"/>
      <c r="AP249" s="61">
        <v>0</v>
      </c>
      <c r="AQ249" s="61">
        <v>6066360.7842899896</v>
      </c>
      <c r="AR249" s="61">
        <v>13988871.58619</v>
      </c>
      <c r="AS249" s="61">
        <v>13988871.58619</v>
      </c>
      <c r="AT249" s="61">
        <v>11529429.58619</v>
      </c>
      <c r="AU249" s="61">
        <v>2459442</v>
      </c>
      <c r="AV249" s="61">
        <v>0</v>
      </c>
      <c r="AW249" s="65">
        <v>0.999</v>
      </c>
      <c r="AX249">
        <f t="shared" si="39"/>
        <v>99900000</v>
      </c>
      <c r="AY249" s="78">
        <f t="shared" si="50"/>
        <v>0.999</v>
      </c>
    </row>
    <row r="250" spans="1:51" x14ac:dyDescent="0.25">
      <c r="A250" s="57"/>
      <c r="B250" s="56" t="s">
        <v>105</v>
      </c>
      <c r="C250" s="57">
        <v>2000.03</v>
      </c>
      <c r="D250" s="54" t="s">
        <v>112</v>
      </c>
      <c r="E250" s="54">
        <v>1000</v>
      </c>
      <c r="F250" s="63">
        <v>1</v>
      </c>
      <c r="G250" s="61">
        <v>13689444.423930001</v>
      </c>
      <c r="H250" s="61">
        <f t="shared" si="40"/>
        <v>13689444423.93</v>
      </c>
      <c r="I250" s="146">
        <f t="shared" si="41"/>
        <v>0.999</v>
      </c>
      <c r="J250" s="61">
        <f t="shared" si="42"/>
        <v>13703147571.501501</v>
      </c>
      <c r="K250" s="61">
        <f t="shared" si="43"/>
        <v>6039266000</v>
      </c>
      <c r="L250" s="61">
        <f t="shared" si="44"/>
        <v>2145387995.3700001</v>
      </c>
      <c r="M250" s="61">
        <f t="shared" si="45"/>
        <v>13641941124.440001</v>
      </c>
      <c r="N250" s="86">
        <v>100.1788</v>
      </c>
      <c r="O250" s="80">
        <f t="shared" si="46"/>
        <v>9.9721697604682833E-3</v>
      </c>
      <c r="P250" s="61">
        <f t="shared" si="47"/>
        <v>60284870.651275523</v>
      </c>
      <c r="Q250" s="61">
        <f t="shared" si="48"/>
        <v>21415588.880781166</v>
      </c>
      <c r="R250" s="61">
        <f t="shared" si="49"/>
        <v>136175928.68391317</v>
      </c>
      <c r="S250" s="61">
        <v>6039266</v>
      </c>
      <c r="T250" s="61">
        <v>996036</v>
      </c>
      <c r="U250" s="61">
        <v>996036</v>
      </c>
      <c r="V250" s="61">
        <v>0</v>
      </c>
      <c r="W250" s="61">
        <v>996036</v>
      </c>
      <c r="X250" s="61">
        <v>0</v>
      </c>
      <c r="Y250" s="61">
        <v>0</v>
      </c>
      <c r="Z250" s="61">
        <v>0</v>
      </c>
      <c r="AA250" s="61">
        <v>5043230</v>
      </c>
      <c r="AB250" s="61">
        <v>0</v>
      </c>
      <c r="AC250" s="61">
        <v>0</v>
      </c>
      <c r="AD250" s="61">
        <v>2145387.9953700001</v>
      </c>
      <c r="AE250" s="61">
        <v>21874098.419300001</v>
      </c>
      <c r="AF250" s="61">
        <v>8232157.294859997</v>
      </c>
      <c r="AG250" s="61">
        <v>2210596.0984499995</v>
      </c>
      <c r="AH250" s="61">
        <v>2186766.3383199996</v>
      </c>
      <c r="AI250" s="61">
        <v>0</v>
      </c>
      <c r="AJ250" s="61">
        <v>2186766</v>
      </c>
      <c r="AK250" s="61">
        <v>0</v>
      </c>
      <c r="AL250" s="61">
        <v>23829.760130000002</v>
      </c>
      <c r="AM250" s="61">
        <v>0</v>
      </c>
      <c r="AN250" s="61">
        <v>44288.892569965814</v>
      </c>
      <c r="AO250" s="64"/>
      <c r="AP250" s="61">
        <v>0</v>
      </c>
      <c r="AQ250" s="61">
        <v>5977272.3038400318</v>
      </c>
      <c r="AR250" s="61">
        <v>13641941.124440001</v>
      </c>
      <c r="AS250" s="61">
        <v>13641941.124440001</v>
      </c>
      <c r="AT250" s="61">
        <v>11422378.124440001</v>
      </c>
      <c r="AU250" s="61">
        <v>2219563</v>
      </c>
      <c r="AV250" s="61">
        <v>0</v>
      </c>
      <c r="AW250" s="65">
        <v>0.999</v>
      </c>
      <c r="AX250">
        <f t="shared" si="39"/>
        <v>99900000</v>
      </c>
      <c r="AY250" s="78">
        <f t="shared" si="50"/>
        <v>0.999</v>
      </c>
    </row>
    <row r="251" spans="1:51" x14ac:dyDescent="0.25">
      <c r="A251" s="57"/>
      <c r="B251" s="56" t="s">
        <v>106</v>
      </c>
      <c r="C251" s="57">
        <v>2000.04</v>
      </c>
      <c r="D251" s="54" t="s">
        <v>112</v>
      </c>
      <c r="E251" s="54">
        <v>1000</v>
      </c>
      <c r="F251" s="63">
        <v>1</v>
      </c>
      <c r="G251" s="61">
        <v>11666440.644069998</v>
      </c>
      <c r="H251" s="61">
        <f t="shared" si="40"/>
        <v>11666440644.069998</v>
      </c>
      <c r="I251" s="146">
        <f t="shared" si="41"/>
        <v>0.999</v>
      </c>
      <c r="J251" s="61">
        <f t="shared" si="42"/>
        <v>11678118762.83283</v>
      </c>
      <c r="K251" s="61">
        <f t="shared" si="43"/>
        <v>6587270000</v>
      </c>
      <c r="L251" s="61">
        <f t="shared" si="44"/>
        <v>2129185872.7200003</v>
      </c>
      <c r="M251" s="61">
        <f t="shared" si="45"/>
        <v>13904558064.5</v>
      </c>
      <c r="N251" s="86">
        <v>100.06610000000001</v>
      </c>
      <c r="O251" s="80">
        <f t="shared" si="46"/>
        <v>9.9834009719575352E-3</v>
      </c>
      <c r="P251" s="61">
        <f t="shared" si="47"/>
        <v>65829186.90745417</v>
      </c>
      <c r="Q251" s="61">
        <f t="shared" si="48"/>
        <v>21277794.105296399</v>
      </c>
      <c r="R251" s="61">
        <f t="shared" si="49"/>
        <v>138953732.22799727</v>
      </c>
      <c r="S251" s="61">
        <v>6587270</v>
      </c>
      <c r="T251" s="61">
        <v>1162029</v>
      </c>
      <c r="U251" s="61">
        <v>1162029</v>
      </c>
      <c r="V251" s="61">
        <v>0</v>
      </c>
      <c r="W251" s="61">
        <v>1162029</v>
      </c>
      <c r="X251" s="61">
        <v>0</v>
      </c>
      <c r="Y251" s="61">
        <v>0</v>
      </c>
      <c r="Z251" s="61">
        <v>0</v>
      </c>
      <c r="AA251" s="61">
        <v>5425241</v>
      </c>
      <c r="AB251" s="61">
        <v>0</v>
      </c>
      <c r="AC251" s="61">
        <v>0</v>
      </c>
      <c r="AD251" s="61">
        <v>2129185.8727200003</v>
      </c>
      <c r="AE251" s="61">
        <v>20382896.516789999</v>
      </c>
      <c r="AF251" s="61">
        <v>6478338.4522899995</v>
      </c>
      <c r="AG251" s="61">
        <v>681561.36217000009</v>
      </c>
      <c r="AH251" s="61">
        <v>652297.94226000016</v>
      </c>
      <c r="AI251" s="61">
        <v>0</v>
      </c>
      <c r="AJ251" s="61">
        <v>652298</v>
      </c>
      <c r="AK251" s="61">
        <v>0</v>
      </c>
      <c r="AL251" s="61">
        <v>29263.419909999997</v>
      </c>
      <c r="AM251" s="61">
        <v>0</v>
      </c>
      <c r="AN251" s="61">
        <v>45392.450290024419</v>
      </c>
      <c r="AO251" s="64"/>
      <c r="AP251" s="61">
        <v>0</v>
      </c>
      <c r="AQ251" s="61">
        <v>5751384.6398299746</v>
      </c>
      <c r="AR251" s="61">
        <v>13904558.0645</v>
      </c>
      <c r="AS251" s="61">
        <v>13904558.0645</v>
      </c>
      <c r="AT251" s="61">
        <v>11633998.0645</v>
      </c>
      <c r="AU251" s="61">
        <v>2270560</v>
      </c>
      <c r="AV251" s="61">
        <v>0</v>
      </c>
      <c r="AW251" s="65">
        <v>0.999</v>
      </c>
      <c r="AX251">
        <f t="shared" si="39"/>
        <v>99900000</v>
      </c>
      <c r="AY251" s="78">
        <f t="shared" si="50"/>
        <v>0.999</v>
      </c>
    </row>
    <row r="252" spans="1:51" x14ac:dyDescent="0.25">
      <c r="A252" s="57"/>
      <c r="B252" s="56" t="s">
        <v>107</v>
      </c>
      <c r="C252" s="57">
        <v>2000.05</v>
      </c>
      <c r="D252" s="54" t="s">
        <v>112</v>
      </c>
      <c r="E252" s="54">
        <v>1000</v>
      </c>
      <c r="F252" s="63">
        <v>1</v>
      </c>
      <c r="G252" s="61">
        <v>11954684.561519997</v>
      </c>
      <c r="H252" s="61">
        <f t="shared" si="40"/>
        <v>11954684561.519997</v>
      </c>
      <c r="I252" s="146">
        <f t="shared" si="41"/>
        <v>0.999</v>
      </c>
      <c r="J252" s="61">
        <f t="shared" si="42"/>
        <v>11966651212.732729</v>
      </c>
      <c r="K252" s="61">
        <f t="shared" si="43"/>
        <v>5748748000</v>
      </c>
      <c r="L252" s="61">
        <f t="shared" si="44"/>
        <v>2126945191.6100001</v>
      </c>
      <c r="M252" s="61">
        <f t="shared" si="45"/>
        <v>13529881643.059999</v>
      </c>
      <c r="N252" s="86">
        <v>99.677199999999999</v>
      </c>
      <c r="O252" s="80">
        <f t="shared" si="46"/>
        <v>1.0022352152749074E-2</v>
      </c>
      <c r="P252" s="61">
        <f t="shared" si="47"/>
        <v>57673650.543955892</v>
      </c>
      <c r="Q252" s="61">
        <f t="shared" si="48"/>
        <v>21338332.051963739</v>
      </c>
      <c r="R252" s="61">
        <f t="shared" si="49"/>
        <v>135736975.38714972</v>
      </c>
      <c r="S252" s="61">
        <v>5748748</v>
      </c>
      <c r="T252" s="61">
        <v>1142383</v>
      </c>
      <c r="U252" s="61">
        <v>1142383</v>
      </c>
      <c r="V252" s="61">
        <v>0</v>
      </c>
      <c r="W252" s="61">
        <v>1142383</v>
      </c>
      <c r="X252" s="61">
        <v>0</v>
      </c>
      <c r="Y252" s="61">
        <v>0</v>
      </c>
      <c r="Z252" s="61">
        <v>0</v>
      </c>
      <c r="AA252" s="61">
        <v>4606365</v>
      </c>
      <c r="AB252" s="61">
        <v>0</v>
      </c>
      <c r="AC252" s="61">
        <v>0</v>
      </c>
      <c r="AD252" s="61">
        <v>2126945.1916100001</v>
      </c>
      <c r="AE252" s="61">
        <v>19830377.753129996</v>
      </c>
      <c r="AF252" s="61">
        <v>6300496.1100699957</v>
      </c>
      <c r="AG252" s="61">
        <v>480867.79537000012</v>
      </c>
      <c r="AH252" s="61">
        <v>452398.13260000013</v>
      </c>
      <c r="AI252" s="61">
        <v>0</v>
      </c>
      <c r="AJ252" s="61">
        <v>452398</v>
      </c>
      <c r="AK252" s="61">
        <v>0</v>
      </c>
      <c r="AL252" s="61">
        <v>28469.662769999999</v>
      </c>
      <c r="AM252" s="61">
        <v>0</v>
      </c>
      <c r="AN252" s="61">
        <v>45130.14719001465</v>
      </c>
      <c r="AO252" s="64"/>
      <c r="AP252" s="61">
        <v>0</v>
      </c>
      <c r="AQ252" s="61">
        <v>5774498.1675099805</v>
      </c>
      <c r="AR252" s="61">
        <v>13529881.643059999</v>
      </c>
      <c r="AS252" s="61">
        <v>13529881.643059999</v>
      </c>
      <c r="AT252" s="61">
        <v>11198225.643059999</v>
      </c>
      <c r="AU252" s="61">
        <v>2331656</v>
      </c>
      <c r="AV252" s="61">
        <v>0</v>
      </c>
      <c r="AW252" s="65">
        <v>0.999</v>
      </c>
      <c r="AX252">
        <f t="shared" si="39"/>
        <v>99900000</v>
      </c>
      <c r="AY252" s="78">
        <f t="shared" si="50"/>
        <v>0.999</v>
      </c>
    </row>
    <row r="253" spans="1:51" x14ac:dyDescent="0.25">
      <c r="A253" s="57"/>
      <c r="B253" s="56" t="s">
        <v>96</v>
      </c>
      <c r="C253" s="57">
        <v>2000.06</v>
      </c>
      <c r="D253" s="54" t="s">
        <v>112</v>
      </c>
      <c r="E253" s="54">
        <v>1000</v>
      </c>
      <c r="F253" s="63">
        <v>1</v>
      </c>
      <c r="G253" s="61">
        <v>13939327.904519998</v>
      </c>
      <c r="H253" s="61">
        <f t="shared" si="40"/>
        <v>13939327904.519997</v>
      </c>
      <c r="I253" s="146">
        <f t="shared" si="41"/>
        <v>0.999</v>
      </c>
      <c r="J253" s="61">
        <f t="shared" si="42"/>
        <v>13953281185.705702</v>
      </c>
      <c r="K253" s="61">
        <f t="shared" si="43"/>
        <v>5911928000</v>
      </c>
      <c r="L253" s="61">
        <f t="shared" si="44"/>
        <v>2061440481.9300003</v>
      </c>
      <c r="M253" s="61">
        <f t="shared" si="45"/>
        <v>13748837229.93</v>
      </c>
      <c r="N253" s="86">
        <v>99.492900000000006</v>
      </c>
      <c r="O253" s="80">
        <f t="shared" si="46"/>
        <v>1.0040917492605E-2</v>
      </c>
      <c r="P253" s="61">
        <f t="shared" si="47"/>
        <v>59420601.872093379</v>
      </c>
      <c r="Q253" s="61">
        <f t="shared" si="48"/>
        <v>20719473.268243264</v>
      </c>
      <c r="R253" s="61">
        <f t="shared" si="49"/>
        <v>138189129.37435737</v>
      </c>
      <c r="S253" s="61">
        <v>5911928</v>
      </c>
      <c r="T253" s="61">
        <v>1206493</v>
      </c>
      <c r="U253" s="61">
        <v>1206493</v>
      </c>
      <c r="V253" s="61">
        <v>0</v>
      </c>
      <c r="W253" s="61">
        <v>1206493</v>
      </c>
      <c r="X253" s="61">
        <v>0</v>
      </c>
      <c r="Y253" s="61">
        <v>0</v>
      </c>
      <c r="Z253" s="61">
        <v>0</v>
      </c>
      <c r="AA253" s="61">
        <v>4705435</v>
      </c>
      <c r="AB253" s="61">
        <v>0</v>
      </c>
      <c r="AC253" s="61">
        <v>0</v>
      </c>
      <c r="AD253" s="61">
        <v>2061440.4819300002</v>
      </c>
      <c r="AE253" s="61">
        <v>21912696.386449996</v>
      </c>
      <c r="AF253" s="61">
        <v>8163859.1565199923</v>
      </c>
      <c r="AG253" s="61">
        <v>2146123.5788199999</v>
      </c>
      <c r="AH253" s="61">
        <v>2118258.72254</v>
      </c>
      <c r="AI253" s="61">
        <v>0</v>
      </c>
      <c r="AJ253" s="61">
        <v>2118259</v>
      </c>
      <c r="AK253" s="61">
        <v>0</v>
      </c>
      <c r="AL253" s="61">
        <v>27864.85628</v>
      </c>
      <c r="AM253" s="61">
        <v>0</v>
      </c>
      <c r="AN253" s="61">
        <v>61342.376059873051</v>
      </c>
      <c r="AO253" s="64"/>
      <c r="AP253" s="61">
        <v>0</v>
      </c>
      <c r="AQ253" s="61">
        <v>5956393.2016401198</v>
      </c>
      <c r="AR253" s="61">
        <v>13748837.22993</v>
      </c>
      <c r="AS253" s="61">
        <v>13748837.22993</v>
      </c>
      <c r="AT253" s="61">
        <v>11395433.22993</v>
      </c>
      <c r="AU253" s="61">
        <v>2353404</v>
      </c>
      <c r="AV253" s="61">
        <v>0</v>
      </c>
      <c r="AW253" s="65">
        <v>0.999</v>
      </c>
      <c r="AX253">
        <f t="shared" si="39"/>
        <v>99900000</v>
      </c>
      <c r="AY253" s="78">
        <f t="shared" si="50"/>
        <v>0.999</v>
      </c>
    </row>
    <row r="254" spans="1:51" x14ac:dyDescent="0.25">
      <c r="A254" s="57"/>
      <c r="B254" s="56" t="s">
        <v>97</v>
      </c>
      <c r="C254" s="57">
        <v>2000.07</v>
      </c>
      <c r="D254" s="54" t="s">
        <v>112</v>
      </c>
      <c r="E254" s="54">
        <v>1000</v>
      </c>
      <c r="F254" s="63">
        <v>1</v>
      </c>
      <c r="G254" s="61">
        <v>13515324.69994</v>
      </c>
      <c r="H254" s="61">
        <f t="shared" si="40"/>
        <v>13515324699.940001</v>
      </c>
      <c r="I254" s="146">
        <f t="shared" si="41"/>
        <v>0.999</v>
      </c>
      <c r="J254" s="61">
        <f t="shared" si="42"/>
        <v>13528853553.493494</v>
      </c>
      <c r="K254" s="61">
        <f t="shared" si="43"/>
        <v>5975800000</v>
      </c>
      <c r="L254" s="61">
        <f t="shared" si="44"/>
        <v>2028503835.21</v>
      </c>
      <c r="M254" s="61">
        <f t="shared" si="45"/>
        <v>14292449981.110001</v>
      </c>
      <c r="N254" s="86">
        <v>99.924999999999997</v>
      </c>
      <c r="O254" s="80">
        <f t="shared" si="46"/>
        <v>9.9974981235926956E-3</v>
      </c>
      <c r="P254" s="61">
        <f t="shared" si="47"/>
        <v>59802852.139104329</v>
      </c>
      <c r="Q254" s="61">
        <f t="shared" si="48"/>
        <v>20300263.549762323</v>
      </c>
      <c r="R254" s="61">
        <f t="shared" si="49"/>
        <v>143031773.64133102</v>
      </c>
      <c r="S254" s="61">
        <v>5975800</v>
      </c>
      <c r="T254" s="61">
        <v>1240597</v>
      </c>
      <c r="U254" s="61">
        <v>1240597</v>
      </c>
      <c r="V254" s="61">
        <v>0</v>
      </c>
      <c r="W254" s="61">
        <v>1240597</v>
      </c>
      <c r="X254" s="61">
        <v>0</v>
      </c>
      <c r="Y254" s="61">
        <v>0</v>
      </c>
      <c r="Z254" s="61">
        <v>0</v>
      </c>
      <c r="AA254" s="61">
        <v>4735203</v>
      </c>
      <c r="AB254" s="61">
        <v>0</v>
      </c>
      <c r="AC254" s="61">
        <v>0</v>
      </c>
      <c r="AD254" s="61">
        <v>2028503.8352099999</v>
      </c>
      <c r="AE254" s="61">
        <v>21519628.535149999</v>
      </c>
      <c r="AF254" s="61">
        <v>7227178.5540399998</v>
      </c>
      <c r="AG254" s="61">
        <v>1309690.84054</v>
      </c>
      <c r="AH254" s="61">
        <v>1276815.06917</v>
      </c>
      <c r="AI254" s="61">
        <v>0</v>
      </c>
      <c r="AJ254" s="61">
        <v>1276815</v>
      </c>
      <c r="AK254" s="61">
        <v>0</v>
      </c>
      <c r="AL254" s="61">
        <v>32875.771370000002</v>
      </c>
      <c r="AM254" s="61">
        <v>0</v>
      </c>
      <c r="AN254" s="61">
        <v>55684.809160058598</v>
      </c>
      <c r="AO254" s="64"/>
      <c r="AP254" s="61">
        <v>0</v>
      </c>
      <c r="AQ254" s="61">
        <v>5861802.9043399412</v>
      </c>
      <c r="AR254" s="61">
        <v>14292449.981110001</v>
      </c>
      <c r="AS254" s="61">
        <v>14292449.981110001</v>
      </c>
      <c r="AT254" s="61">
        <v>11818755.981110001</v>
      </c>
      <c r="AU254" s="61">
        <v>2473694</v>
      </c>
      <c r="AV254" s="61">
        <v>0</v>
      </c>
      <c r="AW254" s="65">
        <v>0.999</v>
      </c>
      <c r="AX254">
        <f t="shared" si="39"/>
        <v>99900000</v>
      </c>
      <c r="AY254" s="78">
        <f t="shared" si="50"/>
        <v>0.999</v>
      </c>
    </row>
    <row r="255" spans="1:51" x14ac:dyDescent="0.25">
      <c r="A255" s="57"/>
      <c r="B255" s="56" t="s">
        <v>98</v>
      </c>
      <c r="C255" s="57">
        <v>2000.08</v>
      </c>
      <c r="D255" s="54" t="s">
        <v>112</v>
      </c>
      <c r="E255" s="54">
        <v>1000</v>
      </c>
      <c r="F255" s="63">
        <v>1</v>
      </c>
      <c r="G255" s="61">
        <v>12271685.19672</v>
      </c>
      <c r="H255" s="61">
        <f t="shared" si="40"/>
        <v>12271685196.720001</v>
      </c>
      <c r="I255" s="146">
        <f t="shared" si="41"/>
        <v>0.999</v>
      </c>
      <c r="J255" s="61">
        <f t="shared" si="42"/>
        <v>12283969165.885887</v>
      </c>
      <c r="K255" s="61">
        <f t="shared" si="43"/>
        <v>5924544000</v>
      </c>
      <c r="L255" s="61">
        <f t="shared" si="44"/>
        <v>1937764185.24</v>
      </c>
      <c r="M255" s="61">
        <f t="shared" si="45"/>
        <v>13636974144.700001</v>
      </c>
      <c r="N255" s="86">
        <v>99.71</v>
      </c>
      <c r="O255" s="80">
        <f t="shared" si="46"/>
        <v>1.0019055260254739E-2</v>
      </c>
      <c r="P255" s="61">
        <f t="shared" si="47"/>
        <v>59417751.479289941</v>
      </c>
      <c r="Q255" s="61">
        <f t="shared" si="48"/>
        <v>19434000.453715779</v>
      </c>
      <c r="R255" s="61">
        <f t="shared" si="49"/>
        <v>136766363.90231675</v>
      </c>
      <c r="S255" s="61">
        <v>5924544</v>
      </c>
      <c r="T255" s="61">
        <v>1325538</v>
      </c>
      <c r="U255" s="61">
        <v>1325538</v>
      </c>
      <c r="V255" s="61">
        <v>0</v>
      </c>
      <c r="W255" s="61">
        <v>1325538</v>
      </c>
      <c r="X255" s="61">
        <v>0</v>
      </c>
      <c r="Y255" s="61">
        <v>0</v>
      </c>
      <c r="Z255" s="61">
        <v>0</v>
      </c>
      <c r="AA255" s="61">
        <v>4599006</v>
      </c>
      <c r="AB255" s="61">
        <v>0</v>
      </c>
      <c r="AC255" s="61">
        <v>0</v>
      </c>
      <c r="AD255" s="61">
        <v>1937764.18524</v>
      </c>
      <c r="AE255" s="61">
        <v>20133993.381960001</v>
      </c>
      <c r="AF255" s="61">
        <v>6497019.2372600008</v>
      </c>
      <c r="AG255" s="61">
        <v>501920.20103999996</v>
      </c>
      <c r="AH255" s="61">
        <v>475671.17809999996</v>
      </c>
      <c r="AI255" s="61">
        <v>0</v>
      </c>
      <c r="AJ255" s="61">
        <v>475671</v>
      </c>
      <c r="AK255" s="61">
        <v>0</v>
      </c>
      <c r="AL255" s="61">
        <v>26249.022940000003</v>
      </c>
      <c r="AM255" s="61">
        <v>0</v>
      </c>
      <c r="AN255" s="61">
        <v>42714.610450058593</v>
      </c>
      <c r="AO255" s="64"/>
      <c r="AP255" s="61">
        <v>0</v>
      </c>
      <c r="AQ255" s="61">
        <v>5952384.4257699419</v>
      </c>
      <c r="AR255" s="61">
        <v>13636974.1447</v>
      </c>
      <c r="AS255" s="61">
        <v>13636974.1447</v>
      </c>
      <c r="AT255" s="61">
        <v>11305560.1447</v>
      </c>
      <c r="AU255" s="61">
        <v>2331414</v>
      </c>
      <c r="AV255" s="61">
        <v>0</v>
      </c>
      <c r="AW255" s="65">
        <v>0.999</v>
      </c>
      <c r="AX255">
        <f t="shared" si="39"/>
        <v>99900000</v>
      </c>
      <c r="AY255" s="78">
        <f t="shared" si="50"/>
        <v>0.999</v>
      </c>
    </row>
    <row r="256" spans="1:51" x14ac:dyDescent="0.25">
      <c r="A256" s="57"/>
      <c r="B256" s="56" t="s">
        <v>99</v>
      </c>
      <c r="C256" s="57">
        <v>2000.09</v>
      </c>
      <c r="D256" s="54" t="s">
        <v>112</v>
      </c>
      <c r="E256" s="54">
        <v>1000</v>
      </c>
      <c r="F256" s="63">
        <v>1</v>
      </c>
      <c r="G256" s="61">
        <v>13072790.321520001</v>
      </c>
      <c r="H256" s="61">
        <f t="shared" si="40"/>
        <v>13072790321.52</v>
      </c>
      <c r="I256" s="146">
        <f t="shared" si="41"/>
        <v>0.999</v>
      </c>
      <c r="J256" s="61">
        <f t="shared" si="42"/>
        <v>13085876197.717718</v>
      </c>
      <c r="K256" s="61">
        <f t="shared" si="43"/>
        <v>5621419000</v>
      </c>
      <c r="L256" s="61">
        <f t="shared" si="44"/>
        <v>1936864101.0100002</v>
      </c>
      <c r="M256" s="61">
        <f t="shared" si="45"/>
        <v>13567794874.889999</v>
      </c>
      <c r="N256" s="86">
        <v>99.556899999999999</v>
      </c>
      <c r="O256" s="80">
        <f t="shared" si="46"/>
        <v>1.0034462704242499E-2</v>
      </c>
      <c r="P256" s="61">
        <f t="shared" si="47"/>
        <v>56464383.684104264</v>
      </c>
      <c r="Q256" s="61">
        <f t="shared" si="48"/>
        <v>19454845.430201225</v>
      </c>
      <c r="R256" s="61">
        <f t="shared" si="49"/>
        <v>136281813.46436056</v>
      </c>
      <c r="S256" s="61">
        <v>5621419</v>
      </c>
      <c r="T256" s="61">
        <v>1318789</v>
      </c>
      <c r="U256" s="61">
        <v>1318789</v>
      </c>
      <c r="V256" s="61">
        <v>0</v>
      </c>
      <c r="W256" s="61">
        <v>1318789</v>
      </c>
      <c r="X256" s="61">
        <v>0</v>
      </c>
      <c r="Y256" s="61">
        <v>0</v>
      </c>
      <c r="Z256" s="61">
        <v>0</v>
      </c>
      <c r="AA256" s="61">
        <v>4302630</v>
      </c>
      <c r="AB256" s="61">
        <v>0</v>
      </c>
      <c r="AC256" s="61">
        <v>0</v>
      </c>
      <c r="AD256" s="61">
        <v>1936864.1010100003</v>
      </c>
      <c r="AE256" s="61">
        <v>20631073.422530003</v>
      </c>
      <c r="AF256" s="61">
        <v>7063278.5476400051</v>
      </c>
      <c r="AG256" s="61">
        <v>932921.71154000005</v>
      </c>
      <c r="AH256" s="61">
        <v>906374.95860000001</v>
      </c>
      <c r="AI256" s="61">
        <v>0</v>
      </c>
      <c r="AJ256" s="61">
        <v>906375</v>
      </c>
      <c r="AK256" s="61">
        <v>0</v>
      </c>
      <c r="AL256" s="61">
        <v>26546.752940000002</v>
      </c>
      <c r="AM256" s="61">
        <v>0</v>
      </c>
      <c r="AN256" s="61">
        <v>45879.332000087896</v>
      </c>
      <c r="AO256" s="64"/>
      <c r="AP256" s="61">
        <v>0</v>
      </c>
      <c r="AQ256" s="61">
        <v>6084477.5040999167</v>
      </c>
      <c r="AR256" s="61">
        <v>13567794.87489</v>
      </c>
      <c r="AS256" s="61">
        <v>13567794.87489</v>
      </c>
      <c r="AT256" s="61">
        <v>11358233.87489</v>
      </c>
      <c r="AU256" s="61">
        <v>2209561</v>
      </c>
      <c r="AV256" s="61">
        <v>0</v>
      </c>
      <c r="AW256" s="65">
        <v>0.999</v>
      </c>
      <c r="AX256">
        <f t="shared" si="39"/>
        <v>99900000</v>
      </c>
      <c r="AY256" s="78">
        <f t="shared" si="50"/>
        <v>0.999</v>
      </c>
    </row>
    <row r="257" spans="1:51" x14ac:dyDescent="0.25">
      <c r="A257" s="57"/>
      <c r="B257" s="56" t="s">
        <v>100</v>
      </c>
      <c r="C257" s="57">
        <v>2000.1</v>
      </c>
      <c r="D257" s="54" t="s">
        <v>112</v>
      </c>
      <c r="E257" s="54">
        <v>1000</v>
      </c>
      <c r="F257" s="63">
        <v>1</v>
      </c>
      <c r="G257" s="61">
        <v>13147588.74292</v>
      </c>
      <c r="H257" s="61">
        <f t="shared" si="40"/>
        <v>13147588742.92</v>
      </c>
      <c r="I257" s="146">
        <f t="shared" si="41"/>
        <v>0.999</v>
      </c>
      <c r="J257" s="61">
        <f t="shared" si="42"/>
        <v>13160749492.412413</v>
      </c>
      <c r="K257" s="61">
        <f t="shared" si="43"/>
        <v>5411702000</v>
      </c>
      <c r="L257" s="61">
        <f t="shared" si="44"/>
        <v>1935350017.3499997</v>
      </c>
      <c r="M257" s="61">
        <f t="shared" si="45"/>
        <v>13355081957.299999</v>
      </c>
      <c r="N257" s="87">
        <v>99.74</v>
      </c>
      <c r="O257" s="80">
        <f t="shared" si="46"/>
        <v>1.0016041708441949E-2</v>
      </c>
      <c r="P257" s="61">
        <f t="shared" si="47"/>
        <v>54258091.036695413</v>
      </c>
      <c r="Q257" s="61">
        <f t="shared" si="48"/>
        <v>19403950.444656104</v>
      </c>
      <c r="R257" s="61">
        <f t="shared" si="49"/>
        <v>133898956.86083817</v>
      </c>
      <c r="S257" s="61">
        <v>5411702</v>
      </c>
      <c r="T257" s="61">
        <v>1297164</v>
      </c>
      <c r="U257" s="61">
        <v>1297164</v>
      </c>
      <c r="V257" s="61">
        <v>0</v>
      </c>
      <c r="W257" s="61">
        <v>1297164</v>
      </c>
      <c r="X257" s="61">
        <v>0</v>
      </c>
      <c r="Y257" s="61">
        <v>0</v>
      </c>
      <c r="Z257" s="61">
        <v>0</v>
      </c>
      <c r="AA257" s="61">
        <v>4114538</v>
      </c>
      <c r="AB257" s="61">
        <v>0</v>
      </c>
      <c r="AC257" s="61">
        <v>0</v>
      </c>
      <c r="AD257" s="61">
        <v>1935350.0173499996</v>
      </c>
      <c r="AE257" s="61">
        <v>20494640.76027</v>
      </c>
      <c r="AF257" s="61">
        <v>7139558.8029699987</v>
      </c>
      <c r="AG257" s="61">
        <v>1142456.4922300002</v>
      </c>
      <c r="AH257" s="61">
        <v>1116299.8025500001</v>
      </c>
      <c r="AI257" s="61">
        <v>0</v>
      </c>
      <c r="AJ257" s="61">
        <v>1116300</v>
      </c>
      <c r="AK257" s="61">
        <v>0</v>
      </c>
      <c r="AL257" s="61">
        <v>26156.689679999999</v>
      </c>
      <c r="AM257" s="61">
        <v>0</v>
      </c>
      <c r="AN257" s="61">
        <v>46625.090430107426</v>
      </c>
      <c r="AO257" s="64"/>
      <c r="AP257" s="61">
        <v>0</v>
      </c>
      <c r="AQ257" s="61">
        <v>5950477.2203098908</v>
      </c>
      <c r="AR257" s="61">
        <v>13355081.9573</v>
      </c>
      <c r="AS257" s="61">
        <v>13355081.9573</v>
      </c>
      <c r="AT257" s="61">
        <v>10945253.9573</v>
      </c>
      <c r="AU257" s="61">
        <v>2409828</v>
      </c>
      <c r="AV257" s="61">
        <v>0</v>
      </c>
      <c r="AW257" s="65">
        <v>0.999</v>
      </c>
      <c r="AX257">
        <f t="shared" ref="AX257:AX259" si="51">+AW257*100000000</f>
        <v>99900000</v>
      </c>
      <c r="AY257" s="78">
        <f t="shared" si="50"/>
        <v>0.999</v>
      </c>
    </row>
    <row r="258" spans="1:51" x14ac:dyDescent="0.25">
      <c r="A258" s="57"/>
      <c r="B258" s="56" t="s">
        <v>101</v>
      </c>
      <c r="C258" s="57">
        <v>2000.11</v>
      </c>
      <c r="D258" s="54" t="s">
        <v>112</v>
      </c>
      <c r="E258" s="54">
        <v>1000</v>
      </c>
      <c r="F258" s="63">
        <v>1</v>
      </c>
      <c r="G258" s="61">
        <v>13062177.788729999</v>
      </c>
      <c r="H258" s="61">
        <f t="shared" si="40"/>
        <v>13062177788.73</v>
      </c>
      <c r="I258" s="146">
        <f t="shared" si="41"/>
        <v>0.999</v>
      </c>
      <c r="J258" s="61">
        <f t="shared" si="42"/>
        <v>13075253041.77177</v>
      </c>
      <c r="K258" s="61">
        <f t="shared" si="43"/>
        <v>5374537000</v>
      </c>
      <c r="L258" s="61">
        <f t="shared" si="44"/>
        <v>1933191563.8899999</v>
      </c>
      <c r="M258" s="61">
        <f t="shared" si="45"/>
        <v>13329990384.02</v>
      </c>
      <c r="N258" s="87">
        <v>99.25</v>
      </c>
      <c r="O258" s="80">
        <f t="shared" si="46"/>
        <v>1.0065491183879094E-2</v>
      </c>
      <c r="P258" s="61">
        <f t="shared" si="47"/>
        <v>54151506.297229216</v>
      </c>
      <c r="Q258" s="61">
        <f t="shared" si="48"/>
        <v>19478000.643727958</v>
      </c>
      <c r="R258" s="61">
        <f t="shared" si="49"/>
        <v>134307207.89944586</v>
      </c>
      <c r="S258" s="61">
        <v>5374537</v>
      </c>
      <c r="T258" s="61">
        <v>1293616</v>
      </c>
      <c r="U258" s="61">
        <v>1293616</v>
      </c>
      <c r="V258" s="61">
        <v>0</v>
      </c>
      <c r="W258" s="61">
        <v>1293616</v>
      </c>
      <c r="X258" s="61">
        <v>0</v>
      </c>
      <c r="Y258" s="61">
        <v>0</v>
      </c>
      <c r="Z258" s="61">
        <v>0</v>
      </c>
      <c r="AA258" s="61">
        <v>4080921</v>
      </c>
      <c r="AB258" s="61">
        <v>0</v>
      </c>
      <c r="AC258" s="61">
        <v>0</v>
      </c>
      <c r="AD258" s="61">
        <v>1933191.5638899999</v>
      </c>
      <c r="AE258" s="61">
        <v>20369906.352619998</v>
      </c>
      <c r="AF258" s="61">
        <v>7039915.9685999993</v>
      </c>
      <c r="AG258" s="61">
        <v>946604.94247000001</v>
      </c>
      <c r="AH258" s="61">
        <v>919084.94209999999</v>
      </c>
      <c r="AI258" s="61">
        <v>0</v>
      </c>
      <c r="AJ258" s="61">
        <v>919085</v>
      </c>
      <c r="AK258" s="61">
        <v>0</v>
      </c>
      <c r="AL258" s="61">
        <v>27520.000369999998</v>
      </c>
      <c r="AM258" s="61">
        <v>0</v>
      </c>
      <c r="AN258" s="61">
        <v>47136.564369843756</v>
      </c>
      <c r="AO258" s="64"/>
      <c r="AP258" s="61">
        <v>0</v>
      </c>
      <c r="AQ258" s="61">
        <v>6046174.4617601559</v>
      </c>
      <c r="AR258" s="61">
        <v>13329990.384020001</v>
      </c>
      <c r="AS258" s="61">
        <v>13329990.384020001</v>
      </c>
      <c r="AT258" s="61">
        <v>11015883.384020001</v>
      </c>
      <c r="AU258" s="61">
        <v>2314107</v>
      </c>
      <c r="AV258" s="61">
        <v>0</v>
      </c>
      <c r="AW258" s="65">
        <v>0.999</v>
      </c>
      <c r="AX258">
        <f t="shared" si="51"/>
        <v>99900000</v>
      </c>
      <c r="AY258" s="78">
        <f t="shared" si="50"/>
        <v>0.999</v>
      </c>
    </row>
    <row r="259" spans="1:51" x14ac:dyDescent="0.25">
      <c r="A259" s="57"/>
      <c r="B259" s="56" t="s">
        <v>102</v>
      </c>
      <c r="C259" s="57">
        <v>2000.12</v>
      </c>
      <c r="D259" s="54" t="s">
        <v>112</v>
      </c>
      <c r="E259" s="54">
        <v>1000</v>
      </c>
      <c r="F259" s="63">
        <v>1</v>
      </c>
      <c r="G259" s="61">
        <v>13717614.73584</v>
      </c>
      <c r="H259" s="61">
        <f t="shared" si="40"/>
        <v>13717614735.84</v>
      </c>
      <c r="I259" s="146">
        <f t="shared" si="41"/>
        <v>0.999</v>
      </c>
      <c r="J259" s="61">
        <f t="shared" si="42"/>
        <v>13731346081.921923</v>
      </c>
      <c r="K259" s="61">
        <f t="shared" si="43"/>
        <v>7467885000</v>
      </c>
      <c r="L259" s="61">
        <f t="shared" si="44"/>
        <v>1930361239.1600001</v>
      </c>
      <c r="M259" s="61">
        <f t="shared" si="45"/>
        <v>15054195371.93</v>
      </c>
      <c r="N259" s="87">
        <v>99.13</v>
      </c>
      <c r="O259" s="80">
        <f t="shared" si="46"/>
        <v>1.0077675779279734E-2</v>
      </c>
      <c r="P259" s="61">
        <f t="shared" si="47"/>
        <v>75334258.044991434</v>
      </c>
      <c r="Q259" s="61">
        <f t="shared" si="48"/>
        <v>19473027.732876021</v>
      </c>
      <c r="R259" s="61">
        <f t="shared" si="49"/>
        <v>151863163.23948351</v>
      </c>
      <c r="S259" s="61">
        <v>7467885</v>
      </c>
      <c r="T259" s="61">
        <v>1294262</v>
      </c>
      <c r="U259" s="61">
        <v>1294262</v>
      </c>
      <c r="V259" s="61">
        <v>0</v>
      </c>
      <c r="W259" s="61">
        <v>1294262</v>
      </c>
      <c r="X259" s="61">
        <v>0</v>
      </c>
      <c r="Y259" s="61">
        <v>0</v>
      </c>
      <c r="Z259" s="61">
        <v>0</v>
      </c>
      <c r="AA259" s="61">
        <v>6173623</v>
      </c>
      <c r="AB259" s="61">
        <v>0</v>
      </c>
      <c r="AC259" s="61">
        <v>0</v>
      </c>
      <c r="AD259" s="61">
        <v>1930361.2391600001</v>
      </c>
      <c r="AE259" s="61">
        <v>23115860.975000001</v>
      </c>
      <c r="AF259" s="61">
        <v>8061665.6030700011</v>
      </c>
      <c r="AG259" s="61">
        <v>1789177.3176</v>
      </c>
      <c r="AH259" s="61">
        <v>1768838.34235</v>
      </c>
      <c r="AI259" s="61">
        <v>0</v>
      </c>
      <c r="AJ259" s="61">
        <v>1768838</v>
      </c>
      <c r="AK259" s="61">
        <v>0</v>
      </c>
      <c r="AL259" s="61">
        <v>20338.97525</v>
      </c>
      <c r="AM259" s="61">
        <v>0</v>
      </c>
      <c r="AN259" s="61">
        <v>22822.207610078134</v>
      </c>
      <c r="AO259" s="64"/>
      <c r="AP259" s="61">
        <v>0</v>
      </c>
      <c r="AQ259" s="61">
        <v>6249666.0778599232</v>
      </c>
      <c r="AR259" s="61">
        <v>15054195.371929999</v>
      </c>
      <c r="AS259" s="61">
        <v>15054195.371929999</v>
      </c>
      <c r="AT259" s="61">
        <v>12556407.371929999</v>
      </c>
      <c r="AU259" s="61">
        <v>2497788</v>
      </c>
      <c r="AV259" s="61">
        <v>0</v>
      </c>
      <c r="AW259" s="65">
        <v>0.999</v>
      </c>
      <c r="AX259">
        <f t="shared" si="51"/>
        <v>99900000</v>
      </c>
      <c r="AY259" s="78">
        <f t="shared" si="50"/>
        <v>0.999</v>
      </c>
    </row>
    <row r="260" spans="1:51" x14ac:dyDescent="0.25">
      <c r="N260" s="87"/>
      <c r="O260" s="87"/>
    </row>
    <row r="261" spans="1:51" x14ac:dyDescent="0.25">
      <c r="N261" s="87"/>
      <c r="O261" s="87"/>
    </row>
    <row r="262" spans="1:51" x14ac:dyDescent="0.25">
      <c r="N262" s="87"/>
      <c r="O262" s="87"/>
    </row>
    <row r="263" spans="1:51" x14ac:dyDescent="0.25">
      <c r="N263" s="87"/>
      <c r="O263" s="87"/>
    </row>
    <row r="264" spans="1:51" x14ac:dyDescent="0.25">
      <c r="N264" s="88"/>
      <c r="O264" s="88"/>
    </row>
    <row r="265" spans="1:51" x14ac:dyDescent="0.25">
      <c r="N265" s="87"/>
      <c r="O265" s="87"/>
    </row>
    <row r="266" spans="1:51" x14ac:dyDescent="0.25">
      <c r="N266" s="87"/>
      <c r="O266" s="87"/>
    </row>
    <row r="267" spans="1:51" x14ac:dyDescent="0.25">
      <c r="N267" s="87"/>
      <c r="O267" s="87"/>
    </row>
    <row r="268" spans="1:51" x14ac:dyDescent="0.25">
      <c r="N268" s="87"/>
      <c r="O268" s="87"/>
    </row>
    <row r="269" spans="1:51" x14ac:dyDescent="0.25">
      <c r="N269" s="88"/>
      <c r="O269" s="88"/>
    </row>
    <row r="270" spans="1:51" x14ac:dyDescent="0.25">
      <c r="N270" s="87"/>
      <c r="O270" s="87"/>
    </row>
    <row r="271" spans="1:51" x14ac:dyDescent="0.25">
      <c r="N271" s="88"/>
      <c r="O271" s="88"/>
    </row>
    <row r="272" spans="1:51" x14ac:dyDescent="0.25">
      <c r="N272" s="87"/>
      <c r="O272" s="87"/>
    </row>
    <row r="273" spans="14:15" x14ac:dyDescent="0.25">
      <c r="N273" s="87"/>
      <c r="O273" s="87"/>
    </row>
    <row r="274" spans="14:15" x14ac:dyDescent="0.25">
      <c r="N274" s="87"/>
      <c r="O274" s="87"/>
    </row>
    <row r="275" spans="14:15" x14ac:dyDescent="0.25">
      <c r="N275" s="87"/>
      <c r="O275" s="87"/>
    </row>
    <row r="276" spans="14:15" x14ac:dyDescent="0.25">
      <c r="N276" s="87"/>
      <c r="O276" s="87"/>
    </row>
    <row r="277" spans="14:15" x14ac:dyDescent="0.25">
      <c r="N277" s="89"/>
      <c r="O277" s="89"/>
    </row>
    <row r="278" spans="14:15" x14ac:dyDescent="0.25">
      <c r="N278" s="90"/>
      <c r="O278" s="90"/>
    </row>
    <row r="279" spans="14:15" x14ac:dyDescent="0.25">
      <c r="N279" s="90"/>
      <c r="O279" s="90"/>
    </row>
    <row r="280" spans="14:15" x14ac:dyDescent="0.25">
      <c r="N280" s="90"/>
      <c r="O280" s="90"/>
    </row>
    <row r="281" spans="14:15" x14ac:dyDescent="0.25">
      <c r="N281" s="90"/>
      <c r="O281" s="90"/>
    </row>
    <row r="282" spans="14:15" x14ac:dyDescent="0.25">
      <c r="N282" s="90"/>
      <c r="O282" s="90"/>
    </row>
    <row r="283" spans="14:15" x14ac:dyDescent="0.25">
      <c r="N283" s="90"/>
      <c r="O283" s="90"/>
    </row>
    <row r="284" spans="14:15" x14ac:dyDescent="0.25">
      <c r="N284" s="90"/>
      <c r="O284" s="90"/>
    </row>
    <row r="285" spans="14:15" x14ac:dyDescent="0.25">
      <c r="N285" s="91"/>
      <c r="O285" s="91"/>
    </row>
    <row r="286" spans="14:15" x14ac:dyDescent="0.25">
      <c r="N286" s="91"/>
      <c r="O286" s="91"/>
    </row>
    <row r="287" spans="14:15" x14ac:dyDescent="0.25">
      <c r="N287" s="91"/>
      <c r="O287" s="91"/>
    </row>
    <row r="288" spans="14:15" x14ac:dyDescent="0.25">
      <c r="N288" s="92"/>
      <c r="O288" s="92"/>
    </row>
    <row r="289" spans="14:15" x14ac:dyDescent="0.25">
      <c r="N289" s="93"/>
      <c r="O289" s="93"/>
    </row>
    <row r="290" spans="14:15" x14ac:dyDescent="0.25">
      <c r="N290" s="92"/>
      <c r="O290" s="92"/>
    </row>
    <row r="291" spans="14:15" x14ac:dyDescent="0.25">
      <c r="N291" s="92"/>
      <c r="O291" s="92"/>
    </row>
    <row r="292" spans="14:15" x14ac:dyDescent="0.25">
      <c r="N292" s="92"/>
      <c r="O292" s="92"/>
    </row>
    <row r="293" spans="14:15" x14ac:dyDescent="0.25">
      <c r="N293" s="92"/>
      <c r="O293" s="92"/>
    </row>
    <row r="294" spans="14:15" x14ac:dyDescent="0.25">
      <c r="N294" s="93"/>
      <c r="O294" s="93"/>
    </row>
    <row r="295" spans="14:15" x14ac:dyDescent="0.25">
      <c r="N295" s="93"/>
      <c r="O295" s="93"/>
    </row>
    <row r="296" spans="14:15" x14ac:dyDescent="0.25">
      <c r="N296" s="93"/>
      <c r="O296" s="93"/>
    </row>
    <row r="297" spans="14:15" x14ac:dyDescent="0.25">
      <c r="N297" s="91"/>
      <c r="O297" s="91"/>
    </row>
    <row r="298" spans="14:15" x14ac:dyDescent="0.25">
      <c r="N298" s="94"/>
      <c r="O298" s="94"/>
    </row>
    <row r="299" spans="14:15" x14ac:dyDescent="0.25">
      <c r="N299" s="94"/>
      <c r="O299" s="94"/>
    </row>
    <row r="300" spans="14:15" x14ac:dyDescent="0.25">
      <c r="N300" s="94"/>
      <c r="O300" s="94"/>
    </row>
    <row r="301" spans="14:15" x14ac:dyDescent="0.25">
      <c r="N301" s="94"/>
      <c r="O301" s="94"/>
    </row>
    <row r="302" spans="14:15" x14ac:dyDescent="0.25">
      <c r="N302" s="94"/>
      <c r="O302" s="94"/>
    </row>
    <row r="303" spans="14:15" x14ac:dyDescent="0.25">
      <c r="N303" s="94"/>
      <c r="O303" s="94"/>
    </row>
    <row r="304" spans="14:15" x14ac:dyDescent="0.25">
      <c r="N304" s="94"/>
      <c r="O304" s="94"/>
    </row>
    <row r="305" spans="14:15" x14ac:dyDescent="0.25">
      <c r="N305" s="94"/>
      <c r="O305" s="94"/>
    </row>
    <row r="306" spans="14:15" x14ac:dyDescent="0.25">
      <c r="N306" s="94"/>
      <c r="O306" s="94"/>
    </row>
    <row r="307" spans="14:15" x14ac:dyDescent="0.25">
      <c r="N307" s="90"/>
      <c r="O307" s="90"/>
    </row>
  </sheetData>
  <mergeCells count="3">
    <mergeCell ref="AO2:AO7"/>
    <mergeCell ref="AP2:AP7"/>
    <mergeCell ref="AH3:AK3"/>
  </mergeCells>
  <hyperlinks>
    <hyperlink ref="D1" location="nota_moneda" display="Expresión monetaria (m)" xr:uid="{CB6C26AE-8C4E-4903-A678-F1474A59ADF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2018-11-13T21:32:46Z</dcterms:created>
  <dcterms:modified xsi:type="dcterms:W3CDTF">2018-11-14T22:58:24Z</dcterms:modified>
</cp:coreProperties>
</file>