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ucat\Dropbox\HEAnuevo\Cátedra\presentaciones nuevas\"/>
    </mc:Choice>
  </mc:AlternateContent>
  <xr:revisionPtr revIDLastSave="0" documentId="13_ncr:1_{9C9538D5-7585-42C0-B47F-A4C3032F6C21}" xr6:coauthVersionLast="37" xr6:coauthVersionMax="37" xr10:uidLastSave="{00000000-0000-0000-0000-000000000000}"/>
  <bookViews>
    <workbookView xWindow="0" yWindow="0" windowWidth="20490" windowHeight="7185" activeTab="1" xr2:uid="{5B20B09B-66BC-48FA-A9B9-A8A9A54E5621}"/>
  </bookViews>
  <sheets>
    <sheet name="Hoja1" sheetId="1" r:id="rId1"/>
    <sheet name="Hoja2" sheetId="2" r:id="rId2"/>
  </sheets>
  <definedNames>
    <definedName name="_xlnm._FilterDatabase" localSheetId="0" hidden="1">Hoja1!$A$8:$O$319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3" i="2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9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8" i="1"/>
  <c r="H9" i="1"/>
  <c r="H10" i="1"/>
  <c r="H11" i="1"/>
  <c r="H12" i="1"/>
  <c r="H13" i="1"/>
  <c r="H14" i="1"/>
  <c r="H15" i="1"/>
  <c r="H16" i="1"/>
  <c r="H17" i="1"/>
  <c r="H18" i="1"/>
  <c r="H19" i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8" i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248" i="1"/>
  <c r="I248" i="1" s="1"/>
  <c r="I32" i="1" l="1"/>
  <c r="I84" i="1"/>
  <c r="I260" i="1"/>
</calcChain>
</file>

<file path=xl/sharedStrings.xml><?xml version="1.0" encoding="utf-8"?>
<sst xmlns="http://schemas.openxmlformats.org/spreadsheetml/2006/main" count="650" uniqueCount="41">
  <si>
    <t>Ene.</t>
  </si>
  <si>
    <t>m$n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</si>
  <si>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</si>
  <si>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</si>
  <si>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</si>
  <si>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</si>
  <si>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</si>
  <si>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</si>
  <si>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</si>
  <si>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</si>
  <si>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</si>
  <si>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</si>
  <si>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</si>
  <si>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 xml:space="preserve">Ene. </t>
  </si>
  <si>
    <t>$ Ley</t>
  </si>
  <si>
    <t>Año</t>
  </si>
  <si>
    <t>Mes</t>
  </si>
  <si>
    <t>Expresión monetaria (m)</t>
  </si>
  <si>
    <t>Tipo de</t>
  </si>
  <si>
    <t>Descripción</t>
  </si>
  <si>
    <t>Unidades</t>
  </si>
  <si>
    <t>Equivalencia</t>
  </si>
  <si>
    <t>cambio</t>
  </si>
  <si>
    <t>monetarias</t>
  </si>
  <si>
    <t>de la unidad</t>
  </si>
  <si>
    <t>de</t>
  </si>
  <si>
    <t>originales</t>
  </si>
  <si>
    <t>monetaria</t>
  </si>
  <si>
    <t>valuación</t>
  </si>
  <si>
    <t>representadas</t>
  </si>
  <si>
    <t>original</t>
  </si>
  <si>
    <t>1 u$s</t>
  </si>
  <si>
    <t>con la</t>
  </si>
  <si>
    <t>=</t>
  </si>
  <si>
    <t>actual</t>
  </si>
  <si>
    <t>TC</t>
  </si>
  <si>
    <t>Nivel general</t>
  </si>
  <si>
    <t>Var, % respecto al mes anterior</t>
  </si>
  <si>
    <t>Var, %  respecto a diciembre del año anterior</t>
  </si>
  <si>
    <t>Var, % respecto al mismo mes del año anterior</t>
  </si>
  <si>
    <t>BASE MONET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</si>
</sst>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_ ;\-0\ "/>
    <numFmt numFmtId="165" formatCode="_ * #,##0_ ;_ * \-#,##0_ ;_ * &quot;-&quot;_ ;_ @_ "/>
    <numFmt numFmtId="166" formatCode="0.000E+00"/>
    <numFmt numFmtId="167" formatCode="_ * #,##0.0000_ ;_ * \-#,##0.0000_ ;_ * &quot;-&quot;????_ ;_ @_ "/>
    <numFmt numFmtId="168" formatCode="0.00000"/>
    <numFmt numFmtId="169" formatCode="0.0000000000000000"/>
    <numFmt numFmtId="170" formatCode="0.0"/>
    <numFmt numFmtId="171" formatCode="0.000000000000000"/>
    <numFmt numFmtId="172" formatCode="0.00000000000000"/>
    <numFmt numFmtId="173" formatCode="0.0000000000000"/>
    <numFmt numFmtId="174" formatCode="#,##0.00000\ \ "/>
    <numFmt numFmtId="175" formatCode="#,##0.0000\ \ "/>
    <numFmt numFmtId="176" formatCode="#,##0.000\ 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</font>
    <font>
      <sz val="10"/>
      <name val="Arial"/>
      <family val="2"/>
    </font>
    <font>
      <sz val="10"/>
      <color indexed="9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9"/>
      <color indexed="62"/>
      <name val="Arial"/>
      <family val="2"/>
    </font>
    <font>
      <sz val="9"/>
      <name val="Arial"/>
      <family val="2"/>
    </font>
    <font>
      <sz val="9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7"/>
        <bgColor indexed="27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164" fontId="3" fillId="2" borderId="0" xfId="2" applyNumberFormat="1" applyFont="1" applyFill="1"/>
    <xf numFmtId="0" fontId="3" fillId="2" borderId="0" xfId="2" applyNumberFormat="1" applyFont="1" applyFill="1"/>
    <xf numFmtId="165" fontId="4" fillId="2" borderId="0" xfId="2" applyNumberFormat="1" applyFont="1" applyFill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4" fontId="4" fillId="2" borderId="0" xfId="2" applyNumberFormat="1" applyFont="1" applyFill="1"/>
    <xf numFmtId="165" fontId="3" fillId="3" borderId="1" xfId="0" applyNumberFormat="1" applyFont="1" applyFill="1" applyBorder="1" applyAlignment="1">
      <alignment horizontal="center"/>
    </xf>
    <xf numFmtId="165" fontId="3" fillId="3" borderId="0" xfId="0" applyNumberFormat="1" applyFont="1" applyFill="1" applyAlignment="1">
      <alignment horizontal="centerContinuous"/>
    </xf>
    <xf numFmtId="165" fontId="3" fillId="3" borderId="2" xfId="0" applyNumberFormat="1" applyFont="1" applyFill="1" applyBorder="1" applyAlignment="1">
      <alignment horizontal="centerContinuous"/>
    </xf>
    <xf numFmtId="0" fontId="5" fillId="3" borderId="3" xfId="3" applyNumberFormat="1" applyFill="1" applyBorder="1" applyAlignment="1" applyProtection="1">
      <alignment horizontal="centerContinuous"/>
    </xf>
    <xf numFmtId="0" fontId="3" fillId="3" borderId="4" xfId="0" applyNumberFormat="1" applyFont="1" applyFill="1" applyBorder="1" applyAlignment="1">
      <alignment horizontal="centerContinuous"/>
    </xf>
    <xf numFmtId="0" fontId="3" fillId="3" borderId="5" xfId="0" applyNumberFormat="1" applyFont="1" applyFill="1" applyBorder="1" applyAlignment="1">
      <alignment horizontal="centerContinuous"/>
    </xf>
    <xf numFmtId="0" fontId="3" fillId="3" borderId="7" xfId="0" applyFont="1" applyFill="1" applyBorder="1" applyAlignment="1">
      <alignment horizontal="centerContinuous"/>
    </xf>
    <xf numFmtId="165" fontId="3" fillId="3" borderId="1" xfId="0" applyNumberFormat="1" applyFont="1" applyFill="1" applyBorder="1"/>
    <xf numFmtId="165" fontId="3" fillId="3" borderId="0" xfId="0" applyNumberFormat="1" applyFont="1" applyFill="1"/>
    <xf numFmtId="165" fontId="3" fillId="3" borderId="2" xfId="0" applyNumberFormat="1" applyFont="1" applyFill="1" applyBorder="1"/>
    <xf numFmtId="0" fontId="3" fillId="3" borderId="8" xfId="0" applyNumberFormat="1" applyFont="1" applyFill="1" applyBorder="1" applyAlignment="1">
      <alignment horizontal="center"/>
    </xf>
    <xf numFmtId="0" fontId="3" fillId="3" borderId="9" xfId="0" applyNumberFormat="1" applyFont="1" applyFill="1" applyBorder="1" applyAlignment="1">
      <alignment horizontal="center"/>
    </xf>
    <xf numFmtId="0" fontId="3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65" fontId="3" fillId="3" borderId="10" xfId="0" applyNumberFormat="1" applyFont="1" applyFill="1" applyBorder="1"/>
    <xf numFmtId="165" fontId="3" fillId="3" borderId="11" xfId="0" applyNumberFormat="1" applyFont="1" applyFill="1" applyBorder="1"/>
    <xf numFmtId="165" fontId="3" fillId="3" borderId="12" xfId="0" applyNumberFormat="1" applyFont="1" applyFill="1" applyBorder="1"/>
    <xf numFmtId="0" fontId="3" fillId="3" borderId="13" xfId="0" applyNumberFormat="1" applyFont="1" applyFill="1" applyBorder="1" applyAlignment="1">
      <alignment horizontal="center"/>
    </xf>
    <xf numFmtId="0" fontId="3" fillId="3" borderId="14" xfId="0" applyNumberFormat="1" applyFont="1" applyFill="1" applyBorder="1" applyAlignment="1">
      <alignment horizontal="center"/>
    </xf>
    <xf numFmtId="0" fontId="3" fillId="3" borderId="15" xfId="0" applyFont="1" applyFill="1" applyBorder="1"/>
    <xf numFmtId="168" fontId="0" fillId="0" borderId="0" xfId="0" applyNumberFormat="1"/>
    <xf numFmtId="167" fontId="0" fillId="0" borderId="0" xfId="0" applyNumberFormat="1"/>
    <xf numFmtId="169" fontId="6" fillId="4" borderId="0" xfId="0" applyNumberFormat="1" applyFont="1" applyFill="1"/>
    <xf numFmtId="170" fontId="6" fillId="4" borderId="0" xfId="0" applyNumberFormat="1" applyFont="1" applyFill="1" applyAlignment="1">
      <alignment horizontal="right"/>
    </xf>
    <xf numFmtId="169" fontId="6" fillId="0" borderId="0" xfId="0" applyNumberFormat="1" applyFont="1"/>
    <xf numFmtId="170" fontId="6" fillId="0" borderId="0" xfId="0" applyNumberFormat="1" applyFont="1" applyAlignment="1">
      <alignment horizontal="right"/>
    </xf>
    <xf numFmtId="171" fontId="6" fillId="0" borderId="0" xfId="0" applyNumberFormat="1" applyFont="1"/>
    <xf numFmtId="172" fontId="6" fillId="0" borderId="0" xfId="0" applyNumberFormat="1" applyFont="1"/>
    <xf numFmtId="173" fontId="6" fillId="0" borderId="0" xfId="0" applyNumberFormat="1" applyFont="1"/>
    <xf numFmtId="173" fontId="6" fillId="4" borderId="0" xfId="0" applyNumberFormat="1" applyFont="1" applyFill="1"/>
    <xf numFmtId="0" fontId="6" fillId="0" borderId="16" xfId="0" applyFont="1" applyFill="1" applyBorder="1" applyAlignment="1">
      <alignment horizontal="center" vertical="center" wrapText="1"/>
    </xf>
    <xf numFmtId="9" fontId="0" fillId="0" borderId="0" xfId="1" applyFont="1"/>
    <xf numFmtId="1" fontId="6" fillId="4" borderId="0" xfId="0" applyNumberFormat="1" applyFont="1" applyFill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Fill="1" applyAlignment="1">
      <alignment horizontal="left"/>
    </xf>
    <xf numFmtId="0" fontId="7" fillId="0" borderId="0" xfId="0" applyFont="1" applyFill="1" applyBorder="1" applyAlignment="1">
      <alignment horizontal="center"/>
    </xf>
    <xf numFmtId="174" fontId="8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center"/>
    </xf>
    <xf numFmtId="175" fontId="8" fillId="0" borderId="0" xfId="0" applyNumberFormat="1" applyFont="1" applyFill="1" applyBorder="1" applyAlignment="1">
      <alignment horizontal="right"/>
    </xf>
    <xf numFmtId="176" fontId="8" fillId="0" borderId="0" xfId="0" applyNumberFormat="1" applyFont="1" applyFill="1" applyBorder="1" applyAlignment="1">
      <alignment horizontal="right"/>
    </xf>
  </cellXfs>
  <cellStyles count="4">
    <cellStyle name="Cambiar to&amp;do" xfId="2" xr:uid="{3EA657F9-8FBA-41D5-888E-0CE2D1A274B6}"/>
    <cellStyle name="Hipervínculo" xfId="3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Var IA Tipo de Cambio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Hoja1!$A$20:$B$307</c:f>
              <c:multiLvlStrCache>
                <c:ptCount val="288"/>
                <c:lvl>
                  <c:pt idx="0">
                    <c:v>Ene. 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 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 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 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 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  <c:pt idx="120">
                    <c:v>Ene. </c:v>
                  </c:pt>
                  <c:pt idx="121">
                    <c:v>Feb.</c:v>
                  </c:pt>
                  <c:pt idx="122">
                    <c:v>Mar.</c:v>
                  </c:pt>
                  <c:pt idx="123">
                    <c:v>Abr.</c:v>
                  </c:pt>
                  <c:pt idx="124">
                    <c:v>May.</c:v>
                  </c:pt>
                  <c:pt idx="125">
                    <c:v>Jun.</c:v>
                  </c:pt>
                  <c:pt idx="126">
                    <c:v>Jul.</c:v>
                  </c:pt>
                  <c:pt idx="127">
                    <c:v>Ago.</c:v>
                  </c:pt>
                  <c:pt idx="128">
                    <c:v>Set.</c:v>
                  </c:pt>
                  <c:pt idx="129">
                    <c:v>Oct.</c:v>
                  </c:pt>
                  <c:pt idx="130">
                    <c:v>Nov.</c:v>
                  </c:pt>
                  <c:pt idx="131">
                    <c:v>Dic.</c:v>
                  </c:pt>
                  <c:pt idx="132">
                    <c:v>Ene. </c:v>
                  </c:pt>
                  <c:pt idx="133">
                    <c:v>Feb.</c:v>
                  </c:pt>
                  <c:pt idx="134">
                    <c:v>Mar.</c:v>
                  </c:pt>
                  <c:pt idx="135">
                    <c:v>Abr.</c:v>
                  </c:pt>
                  <c:pt idx="136">
                    <c:v>May.</c:v>
                  </c:pt>
                  <c:pt idx="137">
                    <c:v>Jun.</c:v>
                  </c:pt>
                  <c:pt idx="138">
                    <c:v>Jul.</c:v>
                  </c:pt>
                  <c:pt idx="139">
                    <c:v>Ago.</c:v>
                  </c:pt>
                  <c:pt idx="140">
                    <c:v>Set.</c:v>
                  </c:pt>
                  <c:pt idx="141">
                    <c:v>Oct.</c:v>
                  </c:pt>
                  <c:pt idx="142">
                    <c:v>Nov.</c:v>
                  </c:pt>
                  <c:pt idx="143">
                    <c:v>Dic.</c:v>
                  </c:pt>
                  <c:pt idx="144">
                    <c:v>Ene. </c:v>
                  </c:pt>
                  <c:pt idx="145">
                    <c:v>Feb.</c:v>
                  </c:pt>
                  <c:pt idx="146">
                    <c:v>Mar.</c:v>
                  </c:pt>
                  <c:pt idx="147">
                    <c:v>Abr.</c:v>
                  </c:pt>
                  <c:pt idx="148">
                    <c:v>May.</c:v>
                  </c:pt>
                  <c:pt idx="149">
                    <c:v>Jun.</c:v>
                  </c:pt>
                  <c:pt idx="150">
                    <c:v>Jul.</c:v>
                  </c:pt>
                  <c:pt idx="151">
                    <c:v>Ago.</c:v>
                  </c:pt>
                  <c:pt idx="152">
                    <c:v>Set.</c:v>
                  </c:pt>
                  <c:pt idx="153">
                    <c:v>Oct.</c:v>
                  </c:pt>
                  <c:pt idx="154">
                    <c:v>Nov.</c:v>
                  </c:pt>
                  <c:pt idx="155">
                    <c:v>Dic.</c:v>
                  </c:pt>
                  <c:pt idx="156">
                    <c:v>Ene.</c:v>
                  </c:pt>
                  <c:pt idx="157">
                    <c:v>Feb.</c:v>
                  </c:pt>
                  <c:pt idx="158">
                    <c:v>Mar.</c:v>
                  </c:pt>
                  <c:pt idx="159">
                    <c:v>Abr.</c:v>
                  </c:pt>
                  <c:pt idx="160">
                    <c:v>May.</c:v>
                  </c:pt>
                  <c:pt idx="161">
                    <c:v>Jun.</c:v>
                  </c:pt>
                  <c:pt idx="162">
                    <c:v>Jul.</c:v>
                  </c:pt>
                  <c:pt idx="163">
                    <c:v>Ago.</c:v>
                  </c:pt>
                  <c:pt idx="164">
                    <c:v>Set.</c:v>
                  </c:pt>
                  <c:pt idx="165">
                    <c:v>Oct.</c:v>
                  </c:pt>
                  <c:pt idx="166">
                    <c:v>Nov.</c:v>
                  </c:pt>
                  <c:pt idx="167">
                    <c:v>Dic.</c:v>
                  </c:pt>
                  <c:pt idx="168">
                    <c:v>Ene.</c:v>
                  </c:pt>
                  <c:pt idx="169">
                    <c:v>Feb.</c:v>
                  </c:pt>
                  <c:pt idx="170">
                    <c:v>Mar.</c:v>
                  </c:pt>
                  <c:pt idx="171">
                    <c:v>Abr.</c:v>
                  </c:pt>
                  <c:pt idx="172">
                    <c:v>May.</c:v>
                  </c:pt>
                  <c:pt idx="173">
                    <c:v>Jun.</c:v>
                  </c:pt>
                  <c:pt idx="174">
                    <c:v>Jul.</c:v>
                  </c:pt>
                  <c:pt idx="175">
                    <c:v>Ago.</c:v>
                  </c:pt>
                  <c:pt idx="176">
                    <c:v>Set.</c:v>
                  </c:pt>
                  <c:pt idx="177">
                    <c:v>Oct.</c:v>
                  </c:pt>
                  <c:pt idx="178">
                    <c:v>Nov.</c:v>
                  </c:pt>
                  <c:pt idx="179">
                    <c:v>Dic.</c:v>
                  </c:pt>
                  <c:pt idx="180">
                    <c:v>Ene.</c:v>
                  </c:pt>
                  <c:pt idx="181">
                    <c:v>Feb.</c:v>
                  </c:pt>
                  <c:pt idx="182">
                    <c:v>Mar.</c:v>
                  </c:pt>
                  <c:pt idx="183">
                    <c:v>Abr.</c:v>
                  </c:pt>
                  <c:pt idx="184">
                    <c:v>May.</c:v>
                  </c:pt>
                  <c:pt idx="185">
                    <c:v>Jun.</c:v>
                  </c:pt>
                  <c:pt idx="186">
                    <c:v>Jul.</c:v>
                  </c:pt>
                  <c:pt idx="187">
                    <c:v>Ago.</c:v>
                  </c:pt>
                  <c:pt idx="188">
                    <c:v>Set.</c:v>
                  </c:pt>
                  <c:pt idx="189">
                    <c:v>Oct.</c:v>
                  </c:pt>
                  <c:pt idx="190">
                    <c:v>Nov.</c:v>
                  </c:pt>
                  <c:pt idx="191">
                    <c:v>Dic.</c:v>
                  </c:pt>
                  <c:pt idx="192">
                    <c:v>Ene. </c:v>
                  </c:pt>
                  <c:pt idx="193">
                    <c:v>Feb.</c:v>
                  </c:pt>
                  <c:pt idx="194">
                    <c:v>Mar.</c:v>
                  </c:pt>
                  <c:pt idx="195">
                    <c:v>Abr.</c:v>
                  </c:pt>
                  <c:pt idx="196">
                    <c:v>May.</c:v>
                  </c:pt>
                  <c:pt idx="197">
                    <c:v>Jun.</c:v>
                  </c:pt>
                  <c:pt idx="198">
                    <c:v>Jul.</c:v>
                  </c:pt>
                  <c:pt idx="199">
                    <c:v>Ago.</c:v>
                  </c:pt>
                  <c:pt idx="200">
                    <c:v>Set.</c:v>
                  </c:pt>
                  <c:pt idx="201">
                    <c:v>Oct.</c:v>
                  </c:pt>
                  <c:pt idx="202">
                    <c:v>Nov.</c:v>
                  </c:pt>
                  <c:pt idx="203">
                    <c:v>Dic.</c:v>
                  </c:pt>
                  <c:pt idx="204">
                    <c:v>Ene. </c:v>
                  </c:pt>
                  <c:pt idx="205">
                    <c:v>Feb.</c:v>
                  </c:pt>
                  <c:pt idx="206">
                    <c:v>Mar.</c:v>
                  </c:pt>
                  <c:pt idx="207">
                    <c:v>Abr.</c:v>
                  </c:pt>
                  <c:pt idx="208">
                    <c:v>May.</c:v>
                  </c:pt>
                  <c:pt idx="209">
                    <c:v>Jun.</c:v>
                  </c:pt>
                  <c:pt idx="210">
                    <c:v>Jul.</c:v>
                  </c:pt>
                  <c:pt idx="211">
                    <c:v>Ago.</c:v>
                  </c:pt>
                  <c:pt idx="212">
                    <c:v>Set.</c:v>
                  </c:pt>
                  <c:pt idx="213">
                    <c:v>Oct.</c:v>
                  </c:pt>
                  <c:pt idx="214">
                    <c:v>Nov.</c:v>
                  </c:pt>
                  <c:pt idx="215">
                    <c:v>Dic.</c:v>
                  </c:pt>
                  <c:pt idx="216">
                    <c:v>Ene.</c:v>
                  </c:pt>
                  <c:pt idx="217">
                    <c:v>Feb.</c:v>
                  </c:pt>
                  <c:pt idx="218">
                    <c:v>Mar.</c:v>
                  </c:pt>
                  <c:pt idx="219">
                    <c:v>Abr.</c:v>
                  </c:pt>
                  <c:pt idx="220">
                    <c:v>May.</c:v>
                  </c:pt>
                  <c:pt idx="221">
                    <c:v>Jun.</c:v>
                  </c:pt>
                  <c:pt idx="222">
                    <c:v>Jul.</c:v>
                  </c:pt>
                  <c:pt idx="223">
                    <c:v>Ago.</c:v>
                  </c:pt>
                  <c:pt idx="224">
                    <c:v>Set.</c:v>
                  </c:pt>
                  <c:pt idx="225">
                    <c:v>Oct.</c:v>
                  </c:pt>
                  <c:pt idx="226">
                    <c:v>Nov.</c:v>
                  </c:pt>
                  <c:pt idx="227">
                    <c:v>Dic.</c:v>
                  </c:pt>
                  <c:pt idx="228">
                    <c:v>Ene.</c:v>
                  </c:pt>
                  <c:pt idx="229">
                    <c:v>Feb.</c:v>
                  </c:pt>
                  <c:pt idx="230">
                    <c:v>Mar.</c:v>
                  </c:pt>
                  <c:pt idx="231">
                    <c:v>Abr.</c:v>
                  </c:pt>
                  <c:pt idx="232">
                    <c:v>May.</c:v>
                  </c:pt>
                  <c:pt idx="233">
                    <c:v>Jun.</c:v>
                  </c:pt>
                  <c:pt idx="234">
                    <c:v>Jul.</c:v>
                  </c:pt>
                  <c:pt idx="235">
                    <c:v>Ago.</c:v>
                  </c:pt>
                  <c:pt idx="236">
                    <c:v>Set.</c:v>
                  </c:pt>
                  <c:pt idx="237">
                    <c:v>Oct.</c:v>
                  </c:pt>
                  <c:pt idx="238">
                    <c:v>Nov.</c:v>
                  </c:pt>
                  <c:pt idx="239">
                    <c:v>Dic.</c:v>
                  </c:pt>
                  <c:pt idx="240">
                    <c:v>Ene. </c:v>
                  </c:pt>
                  <c:pt idx="241">
                    <c:v>Feb.</c:v>
                  </c:pt>
                  <c:pt idx="242">
                    <c:v>Mar.</c:v>
                  </c:pt>
                  <c:pt idx="243">
                    <c:v>Abr.</c:v>
                  </c:pt>
                  <c:pt idx="244">
                    <c:v>May.</c:v>
                  </c:pt>
                  <c:pt idx="245">
                    <c:v>Jun.</c:v>
                  </c:pt>
                  <c:pt idx="246">
                    <c:v>Jul.</c:v>
                  </c:pt>
                  <c:pt idx="247">
                    <c:v>Ago.</c:v>
                  </c:pt>
                  <c:pt idx="248">
                    <c:v>Set.</c:v>
                  </c:pt>
                  <c:pt idx="249">
                    <c:v>Oct.</c:v>
                  </c:pt>
                  <c:pt idx="250">
                    <c:v>Nov.</c:v>
                  </c:pt>
                  <c:pt idx="251">
                    <c:v>Dic.</c:v>
                  </c:pt>
                  <c:pt idx="252">
                    <c:v>Ene. </c:v>
                  </c:pt>
                  <c:pt idx="253">
                    <c:v>Feb.</c:v>
                  </c:pt>
                  <c:pt idx="254">
                    <c:v>Mar.</c:v>
                  </c:pt>
                  <c:pt idx="255">
                    <c:v>Abr.</c:v>
                  </c:pt>
                  <c:pt idx="256">
                    <c:v>May.</c:v>
                  </c:pt>
                  <c:pt idx="257">
                    <c:v>Jun.</c:v>
                  </c:pt>
                  <c:pt idx="258">
                    <c:v>Jul.</c:v>
                  </c:pt>
                  <c:pt idx="259">
                    <c:v>Ago.</c:v>
                  </c:pt>
                  <c:pt idx="260">
                    <c:v>Set.</c:v>
                  </c:pt>
                  <c:pt idx="261">
                    <c:v>Oct.</c:v>
                  </c:pt>
                  <c:pt idx="262">
                    <c:v>Nov.</c:v>
                  </c:pt>
                  <c:pt idx="263">
                    <c:v>Dic.</c:v>
                  </c:pt>
                  <c:pt idx="264">
                    <c:v>Ene. </c:v>
                  </c:pt>
                  <c:pt idx="265">
                    <c:v>Feb.</c:v>
                  </c:pt>
                  <c:pt idx="266">
                    <c:v>Mar.</c:v>
                  </c:pt>
                  <c:pt idx="267">
                    <c:v>Abr.</c:v>
                  </c:pt>
                  <c:pt idx="268">
                    <c:v>May.</c:v>
                  </c:pt>
                  <c:pt idx="269">
                    <c:v>Jun.</c:v>
                  </c:pt>
                  <c:pt idx="270">
                    <c:v>Jul.</c:v>
                  </c:pt>
                  <c:pt idx="271">
                    <c:v>Ago.</c:v>
                  </c:pt>
                  <c:pt idx="272">
                    <c:v>Set.</c:v>
                  </c:pt>
                  <c:pt idx="273">
                    <c:v>Oct.</c:v>
                  </c:pt>
                  <c:pt idx="274">
                    <c:v>Nov.</c:v>
                  </c:pt>
                  <c:pt idx="275">
                    <c:v>Dic.</c:v>
                  </c:pt>
                  <c:pt idx="276">
                    <c:v>Ene.</c:v>
                  </c:pt>
                  <c:pt idx="277">
                    <c:v>Feb.</c:v>
                  </c:pt>
                  <c:pt idx="278">
                    <c:v>Mar.</c:v>
                  </c:pt>
                  <c:pt idx="279">
                    <c:v>Abr.</c:v>
                  </c:pt>
                  <c:pt idx="280">
                    <c:v>May.</c:v>
                  </c:pt>
                  <c:pt idx="281">
                    <c:v>Jun.</c:v>
                  </c:pt>
                  <c:pt idx="282">
                    <c:v>Jul.</c:v>
                  </c:pt>
                  <c:pt idx="283">
                    <c:v>Ago.</c:v>
                  </c:pt>
                  <c:pt idx="284">
                    <c:v>Set.</c:v>
                  </c:pt>
                  <c:pt idx="285">
                    <c:v>Oct.</c:v>
                  </c:pt>
                  <c:pt idx="286">
                    <c:v>Nov.</c:v>
                  </c:pt>
                  <c:pt idx="287">
                    <c:v>Dic.</c:v>
                  </c:pt>
                </c:lvl>
                <c:lvl>
                  <c:pt idx="0">
                    <c:v>1951 </c:v>
                  </c:pt>
                  <c:pt idx="12">
                    <c:v>1952 </c:v>
                  </c:pt>
                  <c:pt idx="24">
                    <c:v>1953 </c:v>
                  </c:pt>
                  <c:pt idx="36">
                    <c:v>1954 </c:v>
                  </c:pt>
                  <c:pt idx="48">
                    <c:v>1955 </c:v>
                  </c:pt>
                  <c:pt idx="60">
                    <c:v>1956 </c:v>
                  </c:pt>
                  <c:pt idx="72">
                    <c:v>1957 </c:v>
                  </c:pt>
                  <c:pt idx="84">
                    <c:v>1958 </c:v>
                  </c:pt>
                  <c:pt idx="96">
                    <c:v>1959 </c:v>
                  </c:pt>
                  <c:pt idx="108">
                    <c:v>1960 </c:v>
                  </c:pt>
                  <c:pt idx="120">
                    <c:v>1961 </c:v>
                  </c:pt>
                  <c:pt idx="132">
                    <c:v>1962 </c:v>
                  </c:pt>
                  <c:pt idx="144">
                    <c:v>1963 </c:v>
                  </c:pt>
                  <c:pt idx="156">
                    <c:v>1964 </c:v>
                  </c:pt>
                  <c:pt idx="168">
                    <c:v>1965 </c:v>
                  </c:pt>
                  <c:pt idx="180">
                    <c:v>1966 </c:v>
                  </c:pt>
                  <c:pt idx="192">
                    <c:v>1967 </c:v>
                  </c:pt>
                  <c:pt idx="204">
                    <c:v>1968 </c:v>
                  </c:pt>
                  <c:pt idx="216">
                    <c:v>1969 </c:v>
                  </c:pt>
                  <c:pt idx="228">
                    <c:v>1970 </c:v>
                  </c:pt>
                  <c:pt idx="240">
                    <c:v>1971 </c:v>
                  </c:pt>
                  <c:pt idx="252">
                    <c:v>1972 </c:v>
                  </c:pt>
                  <c:pt idx="264">
                    <c:v>1973 </c:v>
                  </c:pt>
                  <c:pt idx="276">
                    <c:v>1974 </c:v>
                  </c:pt>
                </c:lvl>
              </c:multiLvlStrCache>
            </c:multiLvlStrRef>
          </c:cat>
          <c:val>
            <c:numRef>
              <c:f>Hoja1!$I$20:$I$307</c:f>
              <c:numCache>
                <c:formatCode>0%</c:formatCode>
                <c:ptCount val="288"/>
                <c:pt idx="0">
                  <c:v>0.55743902439024406</c:v>
                </c:pt>
                <c:pt idx="1">
                  <c:v>0.55543237250554323</c:v>
                </c:pt>
                <c:pt idx="2">
                  <c:v>0.56065410199556553</c:v>
                </c:pt>
                <c:pt idx="3">
                  <c:v>0.55723946784922407</c:v>
                </c:pt>
                <c:pt idx="4">
                  <c:v>0.5713082039911308</c:v>
                </c:pt>
                <c:pt idx="5">
                  <c:v>0.56772727272727286</c:v>
                </c:pt>
                <c:pt idx="6">
                  <c:v>0.55856984478935701</c:v>
                </c:pt>
                <c:pt idx="7">
                  <c:v>0.44846220766593325</c:v>
                </c:pt>
                <c:pt idx="8">
                  <c:v>5.3964355161776112E-2</c:v>
                </c:pt>
                <c:pt idx="9">
                  <c:v>5.6749501232249644E-2</c:v>
                </c:pt>
                <c:pt idx="10">
                  <c:v>2.6778991632453009E-2</c:v>
                </c:pt>
                <c:pt idx="11">
                  <c:v>-2.8155893271784027E-3</c:v>
                </c:pt>
                <c:pt idx="12">
                  <c:v>2.1070465045095021E-2</c:v>
                </c:pt>
                <c:pt idx="13">
                  <c:v>7.7120456165360451E-3</c:v>
                </c:pt>
                <c:pt idx="14">
                  <c:v>-3.3387558517024019E-3</c:v>
                </c:pt>
                <c:pt idx="15">
                  <c:v>-1.1604479471463147E-3</c:v>
                </c:pt>
                <c:pt idx="16">
                  <c:v>-1.1528800835379438E-2</c:v>
                </c:pt>
                <c:pt idx="17">
                  <c:v>-1.156220608306413E-2</c:v>
                </c:pt>
                <c:pt idx="18">
                  <c:v>-5.8897590747102324E-3</c:v>
                </c:pt>
                <c:pt idx="19">
                  <c:v>-1.2521021466627147E-2</c:v>
                </c:pt>
                <c:pt idx="20">
                  <c:v>-3.0684718677172373E-2</c:v>
                </c:pt>
                <c:pt idx="21">
                  <c:v>-2.9991740298320968E-2</c:v>
                </c:pt>
                <c:pt idx="22">
                  <c:v>-3.321987935137527E-2</c:v>
                </c:pt>
                <c:pt idx="23">
                  <c:v>-2.5704664765715979E-2</c:v>
                </c:pt>
                <c:pt idx="24">
                  <c:v>-2.5731833994464548E-2</c:v>
                </c:pt>
                <c:pt idx="25">
                  <c:v>-1.1543195031899378E-2</c:v>
                </c:pt>
                <c:pt idx="26">
                  <c:v>-3.9272706538086011E-3</c:v>
                </c:pt>
                <c:pt idx="27">
                  <c:v>-3.920171062009925E-3</c:v>
                </c:pt>
                <c:pt idx="28">
                  <c:v>-2.483975502862279E-3</c:v>
                </c:pt>
                <c:pt idx="29">
                  <c:v>-1.7170575357361439E-4</c:v>
                </c:pt>
                <c:pt idx="30">
                  <c:v>-3.5776895281114385E-5</c:v>
                </c:pt>
                <c:pt idx="31">
                  <c:v>0</c:v>
                </c:pt>
                <c:pt idx="32">
                  <c:v>-1.4311065315686378E-5</c:v>
                </c:pt>
                <c:pt idx="33">
                  <c:v>-1.4311065315686378E-5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8.5867620751356455E-5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1.4311270125189068E-5</c:v>
                </c:pt>
                <c:pt idx="46">
                  <c:v>7.1556350626167387E-5</c:v>
                </c:pt>
                <c:pt idx="47">
                  <c:v>0</c:v>
                </c:pt>
                <c:pt idx="48">
                  <c:v>0</c:v>
                </c:pt>
                <c:pt idx="49">
                  <c:v>-8.5860248136171435E-5</c:v>
                </c:pt>
                <c:pt idx="50">
                  <c:v>0</c:v>
                </c:pt>
                <c:pt idx="51">
                  <c:v>0</c:v>
                </c:pt>
                <c:pt idx="52">
                  <c:v>1.1520572450804956E-3</c:v>
                </c:pt>
                <c:pt idx="53">
                  <c:v>7.1556350626167387E-5</c:v>
                </c:pt>
                <c:pt idx="54">
                  <c:v>1.2164579606444015E-4</c:v>
                </c:pt>
                <c:pt idx="55">
                  <c:v>4.3649373881926579E-4</c:v>
                </c:pt>
                <c:pt idx="56">
                  <c:v>8.5867620751356455E-5</c:v>
                </c:pt>
                <c:pt idx="57">
                  <c:v>4.7942068807604876E-4</c:v>
                </c:pt>
                <c:pt idx="58">
                  <c:v>1.333285632512879</c:v>
                </c:pt>
                <c:pt idx="59">
                  <c:v>1.5681574239713774</c:v>
                </c:pt>
                <c:pt idx="60">
                  <c:v>1.8286225402504472</c:v>
                </c:pt>
                <c:pt idx="61">
                  <c:v>2.0490161001788909</c:v>
                </c:pt>
                <c:pt idx="62">
                  <c:v>1.917352415026834</c:v>
                </c:pt>
                <c:pt idx="63">
                  <c:v>1.8257602862254028</c:v>
                </c:pt>
                <c:pt idx="64">
                  <c:v>1.6616920756766804</c:v>
                </c:pt>
                <c:pt idx="65">
                  <c:v>1.4191471093302805</c:v>
                </c:pt>
                <c:pt idx="66">
                  <c:v>1.2845163736790517</c:v>
                </c:pt>
                <c:pt idx="67">
                  <c:v>1.1922452453669594</c:v>
                </c:pt>
                <c:pt idx="68">
                  <c:v>1.2531160115052731</c:v>
                </c:pt>
                <c:pt idx="69">
                  <c:v>1.2693625329890788</c:v>
                </c:pt>
                <c:pt idx="70">
                  <c:v>4.8144740877031689E-2</c:v>
                </c:pt>
                <c:pt idx="71">
                  <c:v>-8.3588743382556618E-4</c:v>
                </c:pt>
                <c:pt idx="72">
                  <c:v>-3.921072603086273E-2</c:v>
                </c:pt>
                <c:pt idx="73">
                  <c:v>-0.12414926073691623</c:v>
                </c:pt>
                <c:pt idx="74">
                  <c:v>-3.4093696345351976E-2</c:v>
                </c:pt>
                <c:pt idx="75">
                  <c:v>3.1400354520131568E-2</c:v>
                </c:pt>
                <c:pt idx="76">
                  <c:v>5.7465091299677695E-2</c:v>
                </c:pt>
                <c:pt idx="77">
                  <c:v>0.20141969831410811</c:v>
                </c:pt>
                <c:pt idx="78">
                  <c:v>0.33072345756342014</c:v>
                </c:pt>
                <c:pt idx="79">
                  <c:v>0.42446982055464932</c:v>
                </c:pt>
                <c:pt idx="80">
                  <c:v>0.43188313750396978</c:v>
                </c:pt>
                <c:pt idx="81">
                  <c:v>0.26504884966908282</c:v>
                </c:pt>
                <c:pt idx="82">
                  <c:v>0.12580456407255691</c:v>
                </c:pt>
                <c:pt idx="83">
                  <c:v>3.5415504740658132E-2</c:v>
                </c:pt>
                <c:pt idx="84">
                  <c:v>-1.7640863612427449E-2</c:v>
                </c:pt>
                <c:pt idx="85">
                  <c:v>1.4469453376205754E-2</c:v>
                </c:pt>
                <c:pt idx="86">
                  <c:v>-1.7013712544438842E-2</c:v>
                </c:pt>
                <c:pt idx="87">
                  <c:v>1.3749079302725287E-2</c:v>
                </c:pt>
                <c:pt idx="88">
                  <c:v>7.1609954291518507E-2</c:v>
                </c:pt>
                <c:pt idx="89">
                  <c:v>3.692762186115206E-2</c:v>
                </c:pt>
                <c:pt idx="90">
                  <c:v>5.1776888679688771E-3</c:v>
                </c:pt>
                <c:pt idx="91">
                  <c:v>3.4356390288593719E-2</c:v>
                </c:pt>
                <c:pt idx="92">
                  <c:v>9.9135063206919449E-2</c:v>
                </c:pt>
                <c:pt idx="93">
                  <c:v>0.52491280518186345</c:v>
                </c:pt>
                <c:pt idx="94">
                  <c:v>0.86512474012474017</c:v>
                </c:pt>
                <c:pt idx="95">
                  <c:v>0.78050094263398861</c:v>
                </c:pt>
                <c:pt idx="96">
                  <c:v>0.76494237469847204</c:v>
                </c:pt>
                <c:pt idx="97">
                  <c:v>0.74220813523507645</c:v>
                </c:pt>
                <c:pt idx="98">
                  <c:v>0.7636269697752518</c:v>
                </c:pt>
                <c:pt idx="99">
                  <c:v>0.78711552434003407</c:v>
                </c:pt>
                <c:pt idx="100">
                  <c:v>1.0241706161137438</c:v>
                </c:pt>
                <c:pt idx="101">
                  <c:v>1.1438746438746441</c:v>
                </c:pt>
                <c:pt idx="102">
                  <c:v>0.991571060641536</c:v>
                </c:pt>
                <c:pt idx="103">
                  <c:v>0.86049601417183363</c:v>
                </c:pt>
                <c:pt idx="104">
                  <c:v>0.68179983857949944</c:v>
                </c:pt>
                <c:pt idx="105">
                  <c:v>0.34095735990851161</c:v>
                </c:pt>
                <c:pt idx="106">
                  <c:v>0.15410338581580052</c:v>
                </c:pt>
                <c:pt idx="107">
                  <c:v>0.26092875510512781</c:v>
                </c:pt>
                <c:pt idx="108">
                  <c:v>0.26150341685649203</c:v>
                </c:pt>
                <c:pt idx="109">
                  <c:v>0.25712553062462118</c:v>
                </c:pt>
                <c:pt idx="110">
                  <c:v>0.2147356086128609</c:v>
                </c:pt>
                <c:pt idx="111">
                  <c:v>0.12996340967610776</c:v>
                </c:pt>
                <c:pt idx="112">
                  <c:v>-2.727698431280734E-2</c:v>
                </c:pt>
                <c:pt idx="113">
                  <c:v>-8.1727574750830478E-2</c:v>
                </c:pt>
                <c:pt idx="114">
                  <c:v>-2.6451916294380484E-2</c:v>
                </c:pt>
                <c:pt idx="115">
                  <c:v>-1.4639371578195504E-2</c:v>
                </c:pt>
                <c:pt idx="116">
                  <c:v>-7.07858428314323E-3</c:v>
                </c:pt>
                <c:pt idx="117">
                  <c:v>9.3810916179337678E-3</c:v>
                </c:pt>
                <c:pt idx="118">
                  <c:v>1.0865628395508864E-3</c:v>
                </c:pt>
                <c:pt idx="119">
                  <c:v>-6.1180422264875967E-3</c:v>
                </c:pt>
                <c:pt idx="120">
                  <c:v>-4.0929336703983132E-3</c:v>
                </c:pt>
                <c:pt idx="121">
                  <c:v>-2.6531596719729933E-3</c:v>
                </c:pt>
                <c:pt idx="122">
                  <c:v>-2.1705052453877549E-3</c:v>
                </c:pt>
                <c:pt idx="123">
                  <c:v>-6.3564403933796809E-3</c:v>
                </c:pt>
                <c:pt idx="124">
                  <c:v>-1.9256228186304014E-3</c:v>
                </c:pt>
                <c:pt idx="125">
                  <c:v>-2.1707670043416005E-3</c:v>
                </c:pt>
                <c:pt idx="126">
                  <c:v>-1.9321338002655786E-3</c:v>
                </c:pt>
                <c:pt idx="127">
                  <c:v>-6.0393767363220441E-4</c:v>
                </c:pt>
                <c:pt idx="128">
                  <c:v>2.5374577090380157E-3</c:v>
                </c:pt>
                <c:pt idx="129">
                  <c:v>2.172601086300574E-3</c:v>
                </c:pt>
                <c:pt idx="130">
                  <c:v>1.4471780028944004E-3</c:v>
                </c:pt>
                <c:pt idx="131">
                  <c:v>-1.2070006034992087E-4</c:v>
                </c:pt>
                <c:pt idx="132">
                  <c:v>3.7471292155204505E-3</c:v>
                </c:pt>
                <c:pt idx="133">
                  <c:v>4.1112454655380937E-3</c:v>
                </c:pt>
                <c:pt idx="134">
                  <c:v>1.2084592145011896E-4</c:v>
                </c:pt>
                <c:pt idx="135">
                  <c:v>0.15123717561858774</c:v>
                </c:pt>
                <c:pt idx="136">
                  <c:v>0.27143373929820314</c:v>
                </c:pt>
                <c:pt idx="137">
                  <c:v>0.42071549431955524</c:v>
                </c:pt>
                <c:pt idx="138">
                  <c:v>0.47779794313369628</c:v>
                </c:pt>
                <c:pt idx="139">
                  <c:v>0.49383611312545317</c:v>
                </c:pt>
                <c:pt idx="140">
                  <c:v>0.53585633361455964</c:v>
                </c:pt>
                <c:pt idx="141">
                  <c:v>0.63495122244971691</c:v>
                </c:pt>
                <c:pt idx="142">
                  <c:v>0.76938824662813099</c:v>
                </c:pt>
                <c:pt idx="143">
                  <c:v>0.70992274263640742</c:v>
                </c:pt>
                <c:pt idx="144">
                  <c:v>0.61368015414258181</c:v>
                </c:pt>
                <c:pt idx="145">
                  <c:v>0.62066473988439319</c:v>
                </c:pt>
                <c:pt idx="146">
                  <c:v>0.64463508941517644</c:v>
                </c:pt>
                <c:pt idx="147">
                  <c:v>0.44118263786957446</c:v>
                </c:pt>
                <c:pt idx="148">
                  <c:v>0.30699924127465872</c:v>
                </c:pt>
                <c:pt idx="149">
                  <c:v>0.17277754147171431</c:v>
                </c:pt>
                <c:pt idx="150">
                  <c:v>0.12190928442770588</c:v>
                </c:pt>
                <c:pt idx="151">
                  <c:v>8.9401294498381967E-2</c:v>
                </c:pt>
                <c:pt idx="152">
                  <c:v>0.12022286745664279</c:v>
                </c:pt>
                <c:pt idx="153">
                  <c:v>9.0239410681399734E-2</c:v>
                </c:pt>
                <c:pt idx="154">
                  <c:v>-2.1779078472742186E-2</c:v>
                </c:pt>
                <c:pt idx="155">
                  <c:v>-4.3063889869396355E-2</c:v>
                </c:pt>
                <c:pt idx="156">
                  <c:v>-4.6268656716418333E-3</c:v>
                </c:pt>
                <c:pt idx="157">
                  <c:v>-1.857631148759098E-2</c:v>
                </c:pt>
                <c:pt idx="158">
                  <c:v>-9.9919183013740254E-3</c:v>
                </c:pt>
                <c:pt idx="159">
                  <c:v>-1.4549687181730775E-4</c:v>
                </c:pt>
                <c:pt idx="160">
                  <c:v>-5.8050939699587634E-3</c:v>
                </c:pt>
                <c:pt idx="161">
                  <c:v>-7.2537356738844316E-5</c:v>
                </c:pt>
                <c:pt idx="162">
                  <c:v>4.5245566664233738E-3</c:v>
                </c:pt>
                <c:pt idx="163">
                  <c:v>5.3397697734868244E-2</c:v>
                </c:pt>
                <c:pt idx="164">
                  <c:v>5.6742556917688258E-3</c:v>
                </c:pt>
                <c:pt idx="165">
                  <c:v>-2.9662162162162109E-2</c:v>
                </c:pt>
                <c:pt idx="166">
                  <c:v>3.6874695609824037E-2</c:v>
                </c:pt>
                <c:pt idx="167">
                  <c:v>0.10933234968646244</c:v>
                </c:pt>
                <c:pt idx="168">
                  <c:v>0.13015444594391967</c:v>
                </c:pt>
                <c:pt idx="169">
                  <c:v>0.14460932768019386</c:v>
                </c:pt>
                <c:pt idx="170">
                  <c:v>0.11784786641929501</c:v>
                </c:pt>
                <c:pt idx="171">
                  <c:v>0.16909196740395815</c:v>
                </c:pt>
                <c:pt idx="172">
                  <c:v>0.25209838697905274</c:v>
                </c:pt>
                <c:pt idx="173">
                  <c:v>0.2475879579252811</c:v>
                </c:pt>
                <c:pt idx="174">
                  <c:v>0.24743915728296395</c:v>
                </c:pt>
                <c:pt idx="175">
                  <c:v>0.20924985899605186</c:v>
                </c:pt>
                <c:pt idx="176">
                  <c:v>0.22798829757592642</c:v>
                </c:pt>
                <c:pt idx="177">
                  <c:v>0.24886846319894151</c:v>
                </c:pt>
                <c:pt idx="178">
                  <c:v>0.20230826008186265</c:v>
                </c:pt>
                <c:pt idx="179">
                  <c:v>0.24433065106071705</c:v>
                </c:pt>
                <c:pt idx="180">
                  <c:v>0.25235504842775636</c:v>
                </c:pt>
                <c:pt idx="181">
                  <c:v>0.25036380473607611</c:v>
                </c:pt>
                <c:pt idx="182">
                  <c:v>0.25293766182035449</c:v>
                </c:pt>
                <c:pt idx="183">
                  <c:v>0.17475728155339798</c:v>
                </c:pt>
                <c:pt idx="184">
                  <c:v>0.10813174001748749</c:v>
                </c:pt>
                <c:pt idx="185">
                  <c:v>0.17885800674497054</c:v>
                </c:pt>
                <c:pt idx="186">
                  <c:v>0.18740900355250112</c:v>
                </c:pt>
                <c:pt idx="187">
                  <c:v>0.2375816231343284</c:v>
                </c:pt>
                <c:pt idx="188">
                  <c:v>0.23223098303931033</c:v>
                </c:pt>
                <c:pt idx="189">
                  <c:v>0.21315862838026223</c:v>
                </c:pt>
                <c:pt idx="190">
                  <c:v>0.36527514231499048</c:v>
                </c:pt>
                <c:pt idx="191">
                  <c:v>0.31275720164609044</c:v>
                </c:pt>
                <c:pt idx="192">
                  <c:v>0.30125013242928289</c:v>
                </c:pt>
                <c:pt idx="193">
                  <c:v>0.3277257578162196</c:v>
                </c:pt>
                <c:pt idx="194">
                  <c:v>0.73242197848778678</c:v>
                </c:pt>
                <c:pt idx="195">
                  <c:v>0.85420639966094525</c:v>
                </c:pt>
                <c:pt idx="196">
                  <c:v>0.84113624408206222</c:v>
                </c:pt>
                <c:pt idx="197">
                  <c:v>0.72634901844727229</c:v>
                </c:pt>
                <c:pt idx="198">
                  <c:v>0.71661189857275986</c:v>
                </c:pt>
                <c:pt idx="199">
                  <c:v>0.64884345409148714</c:v>
                </c:pt>
                <c:pt idx="200">
                  <c:v>0.61119550706624315</c:v>
                </c:pt>
                <c:pt idx="201">
                  <c:v>0.60860373196065809</c:v>
                </c:pt>
                <c:pt idx="202">
                  <c:v>0.43073212606793931</c:v>
                </c:pt>
                <c:pt idx="203">
                  <c:v>0.42490738102023373</c:v>
                </c:pt>
                <c:pt idx="204">
                  <c:v>0.42479136983513133</c:v>
                </c:pt>
                <c:pt idx="205">
                  <c:v>0.39453342895848276</c:v>
                </c:pt>
                <c:pt idx="206">
                  <c:v>7.0467335453878288E-2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0.14285714285714279</c:v>
                </c:pt>
                <c:pt idx="234">
                  <c:v>0.14285714285714279</c:v>
                </c:pt>
                <c:pt idx="235">
                  <c:v>0.14285714285714279</c:v>
                </c:pt>
                <c:pt idx="236">
                  <c:v>0.14285714285714279</c:v>
                </c:pt>
                <c:pt idx="237">
                  <c:v>0.14285714285714279</c:v>
                </c:pt>
                <c:pt idx="238">
                  <c:v>0.14285714285714279</c:v>
                </c:pt>
                <c:pt idx="239">
                  <c:v>0.14285714285714279</c:v>
                </c:pt>
                <c:pt idx="240">
                  <c:v>0.14285714285714279</c:v>
                </c:pt>
                <c:pt idx="241">
                  <c:v>0.14285714285714279</c:v>
                </c:pt>
                <c:pt idx="242">
                  <c:v>0.14285714285714279</c:v>
                </c:pt>
                <c:pt idx="243">
                  <c:v>0.15428571428571436</c:v>
                </c:pt>
                <c:pt idx="244">
                  <c:v>0.17714285714285705</c:v>
                </c:pt>
                <c:pt idx="245">
                  <c:v>0.10000000000000009</c:v>
                </c:pt>
                <c:pt idx="246">
                  <c:v>0.17500000000000004</c:v>
                </c:pt>
                <c:pt idx="247">
                  <c:v>0.25</c:v>
                </c:pt>
                <c:pt idx="248">
                  <c:v>0.67500000000000004</c:v>
                </c:pt>
                <c:pt idx="249">
                  <c:v>0.92500000000000004</c:v>
                </c:pt>
                <c:pt idx="250">
                  <c:v>1.0249999999999999</c:v>
                </c:pt>
                <c:pt idx="251">
                  <c:v>1.0625</c:v>
                </c:pt>
                <c:pt idx="252">
                  <c:v>1.4</c:v>
                </c:pt>
                <c:pt idx="253">
                  <c:v>1.42</c:v>
                </c:pt>
                <c:pt idx="254">
                  <c:v>1.4375</c:v>
                </c:pt>
                <c:pt idx="255">
                  <c:v>1.4430693069306928</c:v>
                </c:pt>
                <c:pt idx="256">
                  <c:v>1.4029126213592233</c:v>
                </c:pt>
                <c:pt idx="257">
                  <c:v>1.2613636363636358</c:v>
                </c:pt>
                <c:pt idx="258">
                  <c:v>1.1170212765957444</c:v>
                </c:pt>
                <c:pt idx="259">
                  <c:v>0.996</c:v>
                </c:pt>
                <c:pt idx="260">
                  <c:v>0.4895522388059701</c:v>
                </c:pt>
                <c:pt idx="261">
                  <c:v>0.2961038961038962</c:v>
                </c:pt>
                <c:pt idx="262">
                  <c:v>0.23209876543209873</c:v>
                </c:pt>
                <c:pt idx="263">
                  <c:v>0.20969696969696972</c:v>
                </c:pt>
                <c:pt idx="264">
                  <c:v>3.9583333333333304E-2</c:v>
                </c:pt>
                <c:pt idx="265">
                  <c:v>3.0991735537190035E-2</c:v>
                </c:pt>
                <c:pt idx="266">
                  <c:v>2.3589743589743639E-2</c:v>
                </c:pt>
                <c:pt idx="267">
                  <c:v>1.1144883485309176E-2</c:v>
                </c:pt>
                <c:pt idx="268">
                  <c:v>8.0808080808081328E-3</c:v>
                </c:pt>
                <c:pt idx="269">
                  <c:v>3.0150753768845018E-3</c:v>
                </c:pt>
                <c:pt idx="270">
                  <c:v>3.0150753768845018E-3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1-4D8E-95AE-26453C4E4005}"/>
            </c:ext>
          </c:extLst>
        </c:ser>
        <c:ser>
          <c:idx val="1"/>
          <c:order val="1"/>
          <c:tx>
            <c:v>Inflación 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Hoja1!$A$20:$B$307</c:f>
              <c:multiLvlStrCache>
                <c:ptCount val="288"/>
                <c:lvl>
                  <c:pt idx="0">
                    <c:v>Ene. 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 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 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 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 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  <c:pt idx="120">
                    <c:v>Ene. </c:v>
                  </c:pt>
                  <c:pt idx="121">
                    <c:v>Feb.</c:v>
                  </c:pt>
                  <c:pt idx="122">
                    <c:v>Mar.</c:v>
                  </c:pt>
                  <c:pt idx="123">
                    <c:v>Abr.</c:v>
                  </c:pt>
                  <c:pt idx="124">
                    <c:v>May.</c:v>
                  </c:pt>
                  <c:pt idx="125">
                    <c:v>Jun.</c:v>
                  </c:pt>
                  <c:pt idx="126">
                    <c:v>Jul.</c:v>
                  </c:pt>
                  <c:pt idx="127">
                    <c:v>Ago.</c:v>
                  </c:pt>
                  <c:pt idx="128">
                    <c:v>Set.</c:v>
                  </c:pt>
                  <c:pt idx="129">
                    <c:v>Oct.</c:v>
                  </c:pt>
                  <c:pt idx="130">
                    <c:v>Nov.</c:v>
                  </c:pt>
                  <c:pt idx="131">
                    <c:v>Dic.</c:v>
                  </c:pt>
                  <c:pt idx="132">
                    <c:v>Ene. </c:v>
                  </c:pt>
                  <c:pt idx="133">
                    <c:v>Feb.</c:v>
                  </c:pt>
                  <c:pt idx="134">
                    <c:v>Mar.</c:v>
                  </c:pt>
                  <c:pt idx="135">
                    <c:v>Abr.</c:v>
                  </c:pt>
                  <c:pt idx="136">
                    <c:v>May.</c:v>
                  </c:pt>
                  <c:pt idx="137">
                    <c:v>Jun.</c:v>
                  </c:pt>
                  <c:pt idx="138">
                    <c:v>Jul.</c:v>
                  </c:pt>
                  <c:pt idx="139">
                    <c:v>Ago.</c:v>
                  </c:pt>
                  <c:pt idx="140">
                    <c:v>Set.</c:v>
                  </c:pt>
                  <c:pt idx="141">
                    <c:v>Oct.</c:v>
                  </c:pt>
                  <c:pt idx="142">
                    <c:v>Nov.</c:v>
                  </c:pt>
                  <c:pt idx="143">
                    <c:v>Dic.</c:v>
                  </c:pt>
                  <c:pt idx="144">
                    <c:v>Ene. </c:v>
                  </c:pt>
                  <c:pt idx="145">
                    <c:v>Feb.</c:v>
                  </c:pt>
                  <c:pt idx="146">
                    <c:v>Mar.</c:v>
                  </c:pt>
                  <c:pt idx="147">
                    <c:v>Abr.</c:v>
                  </c:pt>
                  <c:pt idx="148">
                    <c:v>May.</c:v>
                  </c:pt>
                  <c:pt idx="149">
                    <c:v>Jun.</c:v>
                  </c:pt>
                  <c:pt idx="150">
                    <c:v>Jul.</c:v>
                  </c:pt>
                  <c:pt idx="151">
                    <c:v>Ago.</c:v>
                  </c:pt>
                  <c:pt idx="152">
                    <c:v>Set.</c:v>
                  </c:pt>
                  <c:pt idx="153">
                    <c:v>Oct.</c:v>
                  </c:pt>
                  <c:pt idx="154">
                    <c:v>Nov.</c:v>
                  </c:pt>
                  <c:pt idx="155">
                    <c:v>Dic.</c:v>
                  </c:pt>
                  <c:pt idx="156">
                    <c:v>Ene.</c:v>
                  </c:pt>
                  <c:pt idx="157">
                    <c:v>Feb.</c:v>
                  </c:pt>
                  <c:pt idx="158">
                    <c:v>Mar.</c:v>
                  </c:pt>
                  <c:pt idx="159">
                    <c:v>Abr.</c:v>
                  </c:pt>
                  <c:pt idx="160">
                    <c:v>May.</c:v>
                  </c:pt>
                  <c:pt idx="161">
                    <c:v>Jun.</c:v>
                  </c:pt>
                  <c:pt idx="162">
                    <c:v>Jul.</c:v>
                  </c:pt>
                  <c:pt idx="163">
                    <c:v>Ago.</c:v>
                  </c:pt>
                  <c:pt idx="164">
                    <c:v>Set.</c:v>
                  </c:pt>
                  <c:pt idx="165">
                    <c:v>Oct.</c:v>
                  </c:pt>
                  <c:pt idx="166">
                    <c:v>Nov.</c:v>
                  </c:pt>
                  <c:pt idx="167">
                    <c:v>Dic.</c:v>
                  </c:pt>
                  <c:pt idx="168">
                    <c:v>Ene.</c:v>
                  </c:pt>
                  <c:pt idx="169">
                    <c:v>Feb.</c:v>
                  </c:pt>
                  <c:pt idx="170">
                    <c:v>Mar.</c:v>
                  </c:pt>
                  <c:pt idx="171">
                    <c:v>Abr.</c:v>
                  </c:pt>
                  <c:pt idx="172">
                    <c:v>May.</c:v>
                  </c:pt>
                  <c:pt idx="173">
                    <c:v>Jun.</c:v>
                  </c:pt>
                  <c:pt idx="174">
                    <c:v>Jul.</c:v>
                  </c:pt>
                  <c:pt idx="175">
                    <c:v>Ago.</c:v>
                  </c:pt>
                  <c:pt idx="176">
                    <c:v>Set.</c:v>
                  </c:pt>
                  <c:pt idx="177">
                    <c:v>Oct.</c:v>
                  </c:pt>
                  <c:pt idx="178">
                    <c:v>Nov.</c:v>
                  </c:pt>
                  <c:pt idx="179">
                    <c:v>Dic.</c:v>
                  </c:pt>
                  <c:pt idx="180">
                    <c:v>Ene.</c:v>
                  </c:pt>
                  <c:pt idx="181">
                    <c:v>Feb.</c:v>
                  </c:pt>
                  <c:pt idx="182">
                    <c:v>Mar.</c:v>
                  </c:pt>
                  <c:pt idx="183">
                    <c:v>Abr.</c:v>
                  </c:pt>
                  <c:pt idx="184">
                    <c:v>May.</c:v>
                  </c:pt>
                  <c:pt idx="185">
                    <c:v>Jun.</c:v>
                  </c:pt>
                  <c:pt idx="186">
                    <c:v>Jul.</c:v>
                  </c:pt>
                  <c:pt idx="187">
                    <c:v>Ago.</c:v>
                  </c:pt>
                  <c:pt idx="188">
                    <c:v>Set.</c:v>
                  </c:pt>
                  <c:pt idx="189">
                    <c:v>Oct.</c:v>
                  </c:pt>
                  <c:pt idx="190">
                    <c:v>Nov.</c:v>
                  </c:pt>
                  <c:pt idx="191">
                    <c:v>Dic.</c:v>
                  </c:pt>
                  <c:pt idx="192">
                    <c:v>Ene. </c:v>
                  </c:pt>
                  <c:pt idx="193">
                    <c:v>Feb.</c:v>
                  </c:pt>
                  <c:pt idx="194">
                    <c:v>Mar.</c:v>
                  </c:pt>
                  <c:pt idx="195">
                    <c:v>Abr.</c:v>
                  </c:pt>
                  <c:pt idx="196">
                    <c:v>May.</c:v>
                  </c:pt>
                  <c:pt idx="197">
                    <c:v>Jun.</c:v>
                  </c:pt>
                  <c:pt idx="198">
                    <c:v>Jul.</c:v>
                  </c:pt>
                  <c:pt idx="199">
                    <c:v>Ago.</c:v>
                  </c:pt>
                  <c:pt idx="200">
                    <c:v>Set.</c:v>
                  </c:pt>
                  <c:pt idx="201">
                    <c:v>Oct.</c:v>
                  </c:pt>
                  <c:pt idx="202">
                    <c:v>Nov.</c:v>
                  </c:pt>
                  <c:pt idx="203">
                    <c:v>Dic.</c:v>
                  </c:pt>
                  <c:pt idx="204">
                    <c:v>Ene. </c:v>
                  </c:pt>
                  <c:pt idx="205">
                    <c:v>Feb.</c:v>
                  </c:pt>
                  <c:pt idx="206">
                    <c:v>Mar.</c:v>
                  </c:pt>
                  <c:pt idx="207">
                    <c:v>Abr.</c:v>
                  </c:pt>
                  <c:pt idx="208">
                    <c:v>May.</c:v>
                  </c:pt>
                  <c:pt idx="209">
                    <c:v>Jun.</c:v>
                  </c:pt>
                  <c:pt idx="210">
                    <c:v>Jul.</c:v>
                  </c:pt>
                  <c:pt idx="211">
                    <c:v>Ago.</c:v>
                  </c:pt>
                  <c:pt idx="212">
                    <c:v>Set.</c:v>
                  </c:pt>
                  <c:pt idx="213">
                    <c:v>Oct.</c:v>
                  </c:pt>
                  <c:pt idx="214">
                    <c:v>Nov.</c:v>
                  </c:pt>
                  <c:pt idx="215">
                    <c:v>Dic.</c:v>
                  </c:pt>
                  <c:pt idx="216">
                    <c:v>Ene.</c:v>
                  </c:pt>
                  <c:pt idx="217">
                    <c:v>Feb.</c:v>
                  </c:pt>
                  <c:pt idx="218">
                    <c:v>Mar.</c:v>
                  </c:pt>
                  <c:pt idx="219">
                    <c:v>Abr.</c:v>
                  </c:pt>
                  <c:pt idx="220">
                    <c:v>May.</c:v>
                  </c:pt>
                  <c:pt idx="221">
                    <c:v>Jun.</c:v>
                  </c:pt>
                  <c:pt idx="222">
                    <c:v>Jul.</c:v>
                  </c:pt>
                  <c:pt idx="223">
                    <c:v>Ago.</c:v>
                  </c:pt>
                  <c:pt idx="224">
                    <c:v>Set.</c:v>
                  </c:pt>
                  <c:pt idx="225">
                    <c:v>Oct.</c:v>
                  </c:pt>
                  <c:pt idx="226">
                    <c:v>Nov.</c:v>
                  </c:pt>
                  <c:pt idx="227">
                    <c:v>Dic.</c:v>
                  </c:pt>
                  <c:pt idx="228">
                    <c:v>Ene.</c:v>
                  </c:pt>
                  <c:pt idx="229">
                    <c:v>Feb.</c:v>
                  </c:pt>
                  <c:pt idx="230">
                    <c:v>Mar.</c:v>
                  </c:pt>
                  <c:pt idx="231">
                    <c:v>Abr.</c:v>
                  </c:pt>
                  <c:pt idx="232">
                    <c:v>May.</c:v>
                  </c:pt>
                  <c:pt idx="233">
                    <c:v>Jun.</c:v>
                  </c:pt>
                  <c:pt idx="234">
                    <c:v>Jul.</c:v>
                  </c:pt>
                  <c:pt idx="235">
                    <c:v>Ago.</c:v>
                  </c:pt>
                  <c:pt idx="236">
                    <c:v>Set.</c:v>
                  </c:pt>
                  <c:pt idx="237">
                    <c:v>Oct.</c:v>
                  </c:pt>
                  <c:pt idx="238">
                    <c:v>Nov.</c:v>
                  </c:pt>
                  <c:pt idx="239">
                    <c:v>Dic.</c:v>
                  </c:pt>
                  <c:pt idx="240">
                    <c:v>Ene. </c:v>
                  </c:pt>
                  <c:pt idx="241">
                    <c:v>Feb.</c:v>
                  </c:pt>
                  <c:pt idx="242">
                    <c:v>Mar.</c:v>
                  </c:pt>
                  <c:pt idx="243">
                    <c:v>Abr.</c:v>
                  </c:pt>
                  <c:pt idx="244">
                    <c:v>May.</c:v>
                  </c:pt>
                  <c:pt idx="245">
                    <c:v>Jun.</c:v>
                  </c:pt>
                  <c:pt idx="246">
                    <c:v>Jul.</c:v>
                  </c:pt>
                  <c:pt idx="247">
                    <c:v>Ago.</c:v>
                  </c:pt>
                  <c:pt idx="248">
                    <c:v>Set.</c:v>
                  </c:pt>
                  <c:pt idx="249">
                    <c:v>Oct.</c:v>
                  </c:pt>
                  <c:pt idx="250">
                    <c:v>Nov.</c:v>
                  </c:pt>
                  <c:pt idx="251">
                    <c:v>Dic.</c:v>
                  </c:pt>
                  <c:pt idx="252">
                    <c:v>Ene. </c:v>
                  </c:pt>
                  <c:pt idx="253">
                    <c:v>Feb.</c:v>
                  </c:pt>
                  <c:pt idx="254">
                    <c:v>Mar.</c:v>
                  </c:pt>
                  <c:pt idx="255">
                    <c:v>Abr.</c:v>
                  </c:pt>
                  <c:pt idx="256">
                    <c:v>May.</c:v>
                  </c:pt>
                  <c:pt idx="257">
                    <c:v>Jun.</c:v>
                  </c:pt>
                  <c:pt idx="258">
                    <c:v>Jul.</c:v>
                  </c:pt>
                  <c:pt idx="259">
                    <c:v>Ago.</c:v>
                  </c:pt>
                  <c:pt idx="260">
                    <c:v>Set.</c:v>
                  </c:pt>
                  <c:pt idx="261">
                    <c:v>Oct.</c:v>
                  </c:pt>
                  <c:pt idx="262">
                    <c:v>Nov.</c:v>
                  </c:pt>
                  <c:pt idx="263">
                    <c:v>Dic.</c:v>
                  </c:pt>
                  <c:pt idx="264">
                    <c:v>Ene. </c:v>
                  </c:pt>
                  <c:pt idx="265">
                    <c:v>Feb.</c:v>
                  </c:pt>
                  <c:pt idx="266">
                    <c:v>Mar.</c:v>
                  </c:pt>
                  <c:pt idx="267">
                    <c:v>Abr.</c:v>
                  </c:pt>
                  <c:pt idx="268">
                    <c:v>May.</c:v>
                  </c:pt>
                  <c:pt idx="269">
                    <c:v>Jun.</c:v>
                  </c:pt>
                  <c:pt idx="270">
                    <c:v>Jul.</c:v>
                  </c:pt>
                  <c:pt idx="271">
                    <c:v>Ago.</c:v>
                  </c:pt>
                  <c:pt idx="272">
                    <c:v>Set.</c:v>
                  </c:pt>
                  <c:pt idx="273">
                    <c:v>Oct.</c:v>
                  </c:pt>
                  <c:pt idx="274">
                    <c:v>Nov.</c:v>
                  </c:pt>
                  <c:pt idx="275">
                    <c:v>Dic.</c:v>
                  </c:pt>
                  <c:pt idx="276">
                    <c:v>Ene.</c:v>
                  </c:pt>
                  <c:pt idx="277">
                    <c:v>Feb.</c:v>
                  </c:pt>
                  <c:pt idx="278">
                    <c:v>Mar.</c:v>
                  </c:pt>
                  <c:pt idx="279">
                    <c:v>Abr.</c:v>
                  </c:pt>
                  <c:pt idx="280">
                    <c:v>May.</c:v>
                  </c:pt>
                  <c:pt idx="281">
                    <c:v>Jun.</c:v>
                  </c:pt>
                  <c:pt idx="282">
                    <c:v>Jul.</c:v>
                  </c:pt>
                  <c:pt idx="283">
                    <c:v>Ago.</c:v>
                  </c:pt>
                  <c:pt idx="284">
                    <c:v>Set.</c:v>
                  </c:pt>
                  <c:pt idx="285">
                    <c:v>Oct.</c:v>
                  </c:pt>
                  <c:pt idx="286">
                    <c:v>Nov.</c:v>
                  </c:pt>
                  <c:pt idx="287">
                    <c:v>Dic.</c:v>
                  </c:pt>
                </c:lvl>
                <c:lvl>
                  <c:pt idx="0">
                    <c:v>1951 </c:v>
                  </c:pt>
                  <c:pt idx="12">
                    <c:v>1952 </c:v>
                  </c:pt>
                  <c:pt idx="24">
                    <c:v>1953 </c:v>
                  </c:pt>
                  <c:pt idx="36">
                    <c:v>1954 </c:v>
                  </c:pt>
                  <c:pt idx="48">
                    <c:v>1955 </c:v>
                  </c:pt>
                  <c:pt idx="60">
                    <c:v>1956 </c:v>
                  </c:pt>
                  <c:pt idx="72">
                    <c:v>1957 </c:v>
                  </c:pt>
                  <c:pt idx="84">
                    <c:v>1958 </c:v>
                  </c:pt>
                  <c:pt idx="96">
                    <c:v>1959 </c:v>
                  </c:pt>
                  <c:pt idx="108">
                    <c:v>1960 </c:v>
                  </c:pt>
                  <c:pt idx="120">
                    <c:v>1961 </c:v>
                  </c:pt>
                  <c:pt idx="132">
                    <c:v>1962 </c:v>
                  </c:pt>
                  <c:pt idx="144">
                    <c:v>1963 </c:v>
                  </c:pt>
                  <c:pt idx="156">
                    <c:v>1964 </c:v>
                  </c:pt>
                  <c:pt idx="168">
                    <c:v>1965 </c:v>
                  </c:pt>
                  <c:pt idx="180">
                    <c:v>1966 </c:v>
                  </c:pt>
                  <c:pt idx="192">
                    <c:v>1967 </c:v>
                  </c:pt>
                  <c:pt idx="204">
                    <c:v>1968 </c:v>
                  </c:pt>
                  <c:pt idx="216">
                    <c:v>1969 </c:v>
                  </c:pt>
                  <c:pt idx="228">
                    <c:v>1970 </c:v>
                  </c:pt>
                  <c:pt idx="240">
                    <c:v>1971 </c:v>
                  </c:pt>
                  <c:pt idx="252">
                    <c:v>1972 </c:v>
                  </c:pt>
                  <c:pt idx="264">
                    <c:v>1973 </c:v>
                  </c:pt>
                  <c:pt idx="276">
                    <c:v>1974 </c:v>
                  </c:pt>
                </c:lvl>
              </c:multiLvlStrCache>
            </c:multiLvlStrRef>
          </c:cat>
          <c:val>
            <c:numRef>
              <c:f>Hoja1!$P$20:$P$307</c:f>
              <c:numCache>
                <c:formatCode>0%</c:formatCode>
                <c:ptCount val="288"/>
                <c:pt idx="0">
                  <c:v>0.23100000000000001</c:v>
                </c:pt>
                <c:pt idx="1">
                  <c:v>0.23499999999999999</c:v>
                </c:pt>
                <c:pt idx="2">
                  <c:v>0.23800000000000002</c:v>
                </c:pt>
                <c:pt idx="3">
                  <c:v>0.32200000000000001</c:v>
                </c:pt>
                <c:pt idx="4">
                  <c:v>0.35600000000000004</c:v>
                </c:pt>
                <c:pt idx="5">
                  <c:v>0.36200000000000004</c:v>
                </c:pt>
                <c:pt idx="6">
                  <c:v>0.37200000000000005</c:v>
                </c:pt>
                <c:pt idx="7">
                  <c:v>0.496</c:v>
                </c:pt>
                <c:pt idx="8">
                  <c:v>0.41200000000000003</c:v>
                </c:pt>
                <c:pt idx="9">
                  <c:v>0.40100000000000002</c:v>
                </c:pt>
                <c:pt idx="10">
                  <c:v>0.40899999999999997</c:v>
                </c:pt>
                <c:pt idx="11">
                  <c:v>0.502</c:v>
                </c:pt>
                <c:pt idx="12">
                  <c:v>0.57600000000000007</c:v>
                </c:pt>
                <c:pt idx="13">
                  <c:v>0.54200000000000004</c:v>
                </c:pt>
                <c:pt idx="14">
                  <c:v>0.58299999999999996</c:v>
                </c:pt>
                <c:pt idx="15">
                  <c:v>0.54200000000000004</c:v>
                </c:pt>
                <c:pt idx="16">
                  <c:v>0.45799999999999996</c:v>
                </c:pt>
                <c:pt idx="17">
                  <c:v>0.44</c:v>
                </c:pt>
                <c:pt idx="18">
                  <c:v>0.371</c:v>
                </c:pt>
                <c:pt idx="19">
                  <c:v>0.249</c:v>
                </c:pt>
                <c:pt idx="20">
                  <c:v>0.316</c:v>
                </c:pt>
                <c:pt idx="21">
                  <c:v>0.28999999999999998</c:v>
                </c:pt>
                <c:pt idx="22">
                  <c:v>0.28899999999999998</c:v>
                </c:pt>
                <c:pt idx="23">
                  <c:v>0.191</c:v>
                </c:pt>
                <c:pt idx="24">
                  <c:v>0.13100000000000001</c:v>
                </c:pt>
                <c:pt idx="25">
                  <c:v>0.188</c:v>
                </c:pt>
                <c:pt idx="26">
                  <c:v>0.14899999999999999</c:v>
                </c:pt>
                <c:pt idx="27">
                  <c:v>3.6000000000000004E-2</c:v>
                </c:pt>
                <c:pt idx="28">
                  <c:v>3.0000000000000001E-3</c:v>
                </c:pt>
                <c:pt idx="29">
                  <c:v>-1.9E-2</c:v>
                </c:pt>
                <c:pt idx="30">
                  <c:v>3.1E-2</c:v>
                </c:pt>
                <c:pt idx="31">
                  <c:v>3.6000000000000004E-2</c:v>
                </c:pt>
                <c:pt idx="32">
                  <c:v>-4.0000000000000001E-3</c:v>
                </c:pt>
                <c:pt idx="33">
                  <c:v>-1.8000000000000002E-2</c:v>
                </c:pt>
                <c:pt idx="34">
                  <c:v>-1.3999999999999999E-2</c:v>
                </c:pt>
                <c:pt idx="35">
                  <c:v>-6.9999999999999993E-3</c:v>
                </c:pt>
                <c:pt idx="36">
                  <c:v>-1.3999999999999999E-2</c:v>
                </c:pt>
                <c:pt idx="37">
                  <c:v>-7.0000000000000007E-2</c:v>
                </c:pt>
                <c:pt idx="38">
                  <c:v>-6.4000000000000001E-2</c:v>
                </c:pt>
                <c:pt idx="39">
                  <c:v>-3.0000000000000001E-3</c:v>
                </c:pt>
                <c:pt idx="40">
                  <c:v>1.1000000000000001E-2</c:v>
                </c:pt>
                <c:pt idx="41">
                  <c:v>2.8999999999999998E-2</c:v>
                </c:pt>
                <c:pt idx="42">
                  <c:v>4.4000000000000004E-2</c:v>
                </c:pt>
                <c:pt idx="43">
                  <c:v>0.05</c:v>
                </c:pt>
                <c:pt idx="44">
                  <c:v>8.3000000000000004E-2</c:v>
                </c:pt>
                <c:pt idx="45">
                  <c:v>0.11900000000000001</c:v>
                </c:pt>
                <c:pt idx="46">
                  <c:v>0.12300000000000001</c:v>
                </c:pt>
                <c:pt idx="47">
                  <c:v>0.16</c:v>
                </c:pt>
                <c:pt idx="48">
                  <c:v>0.158</c:v>
                </c:pt>
                <c:pt idx="49">
                  <c:v>0.16200000000000001</c:v>
                </c:pt>
                <c:pt idx="50">
                  <c:v>0.16200000000000001</c:v>
                </c:pt>
                <c:pt idx="51">
                  <c:v>0.154</c:v>
                </c:pt>
                <c:pt idx="52">
                  <c:v>0.158</c:v>
                </c:pt>
                <c:pt idx="53">
                  <c:v>0.14699999999999999</c:v>
                </c:pt>
                <c:pt idx="54">
                  <c:v>0.127</c:v>
                </c:pt>
                <c:pt idx="55">
                  <c:v>0.12300000000000001</c:v>
                </c:pt>
                <c:pt idx="56">
                  <c:v>0.10400000000000001</c:v>
                </c:pt>
                <c:pt idx="57">
                  <c:v>7.2000000000000008E-2</c:v>
                </c:pt>
                <c:pt idx="58">
                  <c:v>6.0999999999999999E-2</c:v>
                </c:pt>
                <c:pt idx="59">
                  <c:v>7.4999999999999997E-2</c:v>
                </c:pt>
                <c:pt idx="60">
                  <c:v>8.4000000000000005E-2</c:v>
                </c:pt>
                <c:pt idx="61">
                  <c:v>7.4999999999999997E-2</c:v>
                </c:pt>
                <c:pt idx="62">
                  <c:v>7.2000000000000008E-2</c:v>
                </c:pt>
                <c:pt idx="63">
                  <c:v>9.4E-2</c:v>
                </c:pt>
                <c:pt idx="64">
                  <c:v>0.13400000000000001</c:v>
                </c:pt>
                <c:pt idx="65">
                  <c:v>0.17100000000000001</c:v>
                </c:pt>
                <c:pt idx="66">
                  <c:v>0.16</c:v>
                </c:pt>
                <c:pt idx="67">
                  <c:v>0.15</c:v>
                </c:pt>
                <c:pt idx="68">
                  <c:v>0.14899999999999999</c:v>
                </c:pt>
                <c:pt idx="69">
                  <c:v>0.16500000000000001</c:v>
                </c:pt>
                <c:pt idx="70">
                  <c:v>0.182</c:v>
                </c:pt>
                <c:pt idx="71">
                  <c:v>0.16699999999999998</c:v>
                </c:pt>
                <c:pt idx="72">
                  <c:v>0.16899999999999998</c:v>
                </c:pt>
                <c:pt idx="73">
                  <c:v>0.187</c:v>
                </c:pt>
                <c:pt idx="74">
                  <c:v>0.23199999999999998</c:v>
                </c:pt>
                <c:pt idx="75">
                  <c:v>0.222</c:v>
                </c:pt>
                <c:pt idx="76">
                  <c:v>0.21</c:v>
                </c:pt>
                <c:pt idx="77">
                  <c:v>0.21</c:v>
                </c:pt>
                <c:pt idx="78">
                  <c:v>0.23800000000000002</c:v>
                </c:pt>
                <c:pt idx="79">
                  <c:v>0.311</c:v>
                </c:pt>
                <c:pt idx="80">
                  <c:v>0.30099999999999999</c:v>
                </c:pt>
                <c:pt idx="81">
                  <c:v>0.29799999999999999</c:v>
                </c:pt>
                <c:pt idx="82">
                  <c:v>0.31</c:v>
                </c:pt>
                <c:pt idx="83">
                  <c:v>0.25600000000000001</c:v>
                </c:pt>
                <c:pt idx="84">
                  <c:v>0.23699999999999999</c:v>
                </c:pt>
                <c:pt idx="85">
                  <c:v>0.24399999999999999</c:v>
                </c:pt>
                <c:pt idx="86">
                  <c:v>0.22</c:v>
                </c:pt>
                <c:pt idx="87">
                  <c:v>0.24</c:v>
                </c:pt>
                <c:pt idx="88">
                  <c:v>0.28399999999999997</c:v>
                </c:pt>
                <c:pt idx="89">
                  <c:v>0.29100000000000004</c:v>
                </c:pt>
                <c:pt idx="90">
                  <c:v>0.314</c:v>
                </c:pt>
                <c:pt idx="91">
                  <c:v>0.30499999999999999</c:v>
                </c:pt>
                <c:pt idx="92">
                  <c:v>0.33299999999999996</c:v>
                </c:pt>
                <c:pt idx="93">
                  <c:v>0.35799999999999998</c:v>
                </c:pt>
                <c:pt idx="94">
                  <c:v>0.39200000000000002</c:v>
                </c:pt>
                <c:pt idx="95">
                  <c:v>0.50700000000000001</c:v>
                </c:pt>
                <c:pt idx="96">
                  <c:v>0.82299999999999995</c:v>
                </c:pt>
                <c:pt idx="97">
                  <c:v>0.96200000000000008</c:v>
                </c:pt>
                <c:pt idx="98">
                  <c:v>1.0720000000000001</c:v>
                </c:pt>
                <c:pt idx="99">
                  <c:v>1.1499999999999999</c:v>
                </c:pt>
                <c:pt idx="100">
                  <c:v>1.23</c:v>
                </c:pt>
                <c:pt idx="101">
                  <c:v>1.2709999999999999</c:v>
                </c:pt>
                <c:pt idx="102">
                  <c:v>1.2590000000000001</c:v>
                </c:pt>
                <c:pt idx="103">
                  <c:v>1.24</c:v>
                </c:pt>
                <c:pt idx="104">
                  <c:v>1.2370000000000001</c:v>
                </c:pt>
                <c:pt idx="105">
                  <c:v>1.1859999999999999</c:v>
                </c:pt>
                <c:pt idx="106">
                  <c:v>1.1240000000000001</c:v>
                </c:pt>
                <c:pt idx="107">
                  <c:v>1.016</c:v>
                </c:pt>
                <c:pt idx="108">
                  <c:v>0.75900000000000001</c:v>
                </c:pt>
                <c:pt idx="109">
                  <c:v>0.626</c:v>
                </c:pt>
                <c:pt idx="110">
                  <c:v>0.52600000000000002</c:v>
                </c:pt>
                <c:pt idx="111">
                  <c:v>0.40799999999999997</c:v>
                </c:pt>
                <c:pt idx="112">
                  <c:v>0.27200000000000002</c:v>
                </c:pt>
                <c:pt idx="113">
                  <c:v>0.19</c:v>
                </c:pt>
                <c:pt idx="114">
                  <c:v>0.16600000000000001</c:v>
                </c:pt>
                <c:pt idx="115">
                  <c:v>0.129</c:v>
                </c:pt>
                <c:pt idx="116">
                  <c:v>0.11</c:v>
                </c:pt>
                <c:pt idx="117">
                  <c:v>0.11199999999999999</c:v>
                </c:pt>
                <c:pt idx="118">
                  <c:v>0.11699999999999999</c:v>
                </c:pt>
                <c:pt idx="119">
                  <c:v>0.185</c:v>
                </c:pt>
                <c:pt idx="120">
                  <c:v>8.3000000000000004E-2</c:v>
                </c:pt>
                <c:pt idx="121">
                  <c:v>8.8000000000000009E-2</c:v>
                </c:pt>
                <c:pt idx="122">
                  <c:v>9.1999999999999998E-2</c:v>
                </c:pt>
                <c:pt idx="123">
                  <c:v>0.11800000000000001</c:v>
                </c:pt>
                <c:pt idx="124">
                  <c:v>0.128</c:v>
                </c:pt>
                <c:pt idx="125">
                  <c:v>0.14899999999999999</c:v>
                </c:pt>
                <c:pt idx="126">
                  <c:v>0.156</c:v>
                </c:pt>
                <c:pt idx="127">
                  <c:v>0.159</c:v>
                </c:pt>
                <c:pt idx="128">
                  <c:v>0.17</c:v>
                </c:pt>
                <c:pt idx="129">
                  <c:v>0.16200000000000001</c:v>
                </c:pt>
                <c:pt idx="130">
                  <c:v>0.17</c:v>
                </c:pt>
                <c:pt idx="131">
                  <c:v>0.16399999999999998</c:v>
                </c:pt>
                <c:pt idx="132">
                  <c:v>0.19</c:v>
                </c:pt>
                <c:pt idx="133">
                  <c:v>0.192</c:v>
                </c:pt>
                <c:pt idx="134">
                  <c:v>0.19800000000000001</c:v>
                </c:pt>
                <c:pt idx="135">
                  <c:v>0.21</c:v>
                </c:pt>
                <c:pt idx="136">
                  <c:v>0.24299999999999999</c:v>
                </c:pt>
                <c:pt idx="137">
                  <c:v>0.24399999999999999</c:v>
                </c:pt>
                <c:pt idx="138">
                  <c:v>0.28000000000000003</c:v>
                </c:pt>
                <c:pt idx="139">
                  <c:v>0.28699999999999998</c:v>
                </c:pt>
                <c:pt idx="140">
                  <c:v>0.32100000000000001</c:v>
                </c:pt>
                <c:pt idx="141">
                  <c:v>0.34200000000000003</c:v>
                </c:pt>
                <c:pt idx="142">
                  <c:v>0.29399999999999998</c:v>
                </c:pt>
                <c:pt idx="143">
                  <c:v>0.307</c:v>
                </c:pt>
                <c:pt idx="144">
                  <c:v>0.30499999999999999</c:v>
                </c:pt>
                <c:pt idx="145">
                  <c:v>0.29799999999999999</c:v>
                </c:pt>
                <c:pt idx="146">
                  <c:v>0.33899999999999997</c:v>
                </c:pt>
                <c:pt idx="147">
                  <c:v>0.317</c:v>
                </c:pt>
                <c:pt idx="148">
                  <c:v>0.27300000000000002</c:v>
                </c:pt>
                <c:pt idx="149">
                  <c:v>0.26899999999999996</c:v>
                </c:pt>
                <c:pt idx="150">
                  <c:v>0.23300000000000001</c:v>
                </c:pt>
                <c:pt idx="151">
                  <c:v>0.222</c:v>
                </c:pt>
                <c:pt idx="152">
                  <c:v>0.19699999999999998</c:v>
                </c:pt>
                <c:pt idx="153">
                  <c:v>0.21299999999999999</c:v>
                </c:pt>
                <c:pt idx="154">
                  <c:v>0.25</c:v>
                </c:pt>
                <c:pt idx="155">
                  <c:v>0.23800000000000002</c:v>
                </c:pt>
                <c:pt idx="156">
                  <c:v>0.28499999999999998</c:v>
                </c:pt>
                <c:pt idx="157">
                  <c:v>0.26400000000000001</c:v>
                </c:pt>
                <c:pt idx="158">
                  <c:v>0.20300000000000001</c:v>
                </c:pt>
                <c:pt idx="159">
                  <c:v>0.23</c:v>
                </c:pt>
                <c:pt idx="160">
                  <c:v>0.23199999999999998</c:v>
                </c:pt>
                <c:pt idx="161">
                  <c:v>0.23499999999999999</c:v>
                </c:pt>
                <c:pt idx="162">
                  <c:v>0.221</c:v>
                </c:pt>
                <c:pt idx="163">
                  <c:v>0.21</c:v>
                </c:pt>
                <c:pt idx="164">
                  <c:v>0.20399999999999999</c:v>
                </c:pt>
                <c:pt idx="165">
                  <c:v>0.214</c:v>
                </c:pt>
                <c:pt idx="166">
                  <c:v>0.19699999999999998</c:v>
                </c:pt>
                <c:pt idx="167">
                  <c:v>0.18100000000000002</c:v>
                </c:pt>
                <c:pt idx="168">
                  <c:v>0.14300000000000002</c:v>
                </c:pt>
                <c:pt idx="169">
                  <c:v>0.20699999999999999</c:v>
                </c:pt>
                <c:pt idx="170">
                  <c:v>0.24</c:v>
                </c:pt>
                <c:pt idx="171">
                  <c:v>0.20699999999999999</c:v>
                </c:pt>
                <c:pt idx="172">
                  <c:v>0.23100000000000001</c:v>
                </c:pt>
                <c:pt idx="173">
                  <c:v>0.26300000000000001</c:v>
                </c:pt>
                <c:pt idx="174">
                  <c:v>0.313</c:v>
                </c:pt>
                <c:pt idx="175">
                  <c:v>0.34899999999999998</c:v>
                </c:pt>
                <c:pt idx="176">
                  <c:v>0.35399999999999998</c:v>
                </c:pt>
                <c:pt idx="177">
                  <c:v>0.33700000000000002</c:v>
                </c:pt>
                <c:pt idx="178">
                  <c:v>0.36899999999999999</c:v>
                </c:pt>
                <c:pt idx="179">
                  <c:v>0.38200000000000001</c:v>
                </c:pt>
                <c:pt idx="180">
                  <c:v>0.40299999999999997</c:v>
                </c:pt>
                <c:pt idx="181">
                  <c:v>0.36700000000000005</c:v>
                </c:pt>
                <c:pt idx="182">
                  <c:v>0.36399999999999999</c:v>
                </c:pt>
                <c:pt idx="183">
                  <c:v>0.37799999999999995</c:v>
                </c:pt>
                <c:pt idx="184">
                  <c:v>0.36299999999999999</c:v>
                </c:pt>
                <c:pt idx="185">
                  <c:v>0.32100000000000001</c:v>
                </c:pt>
                <c:pt idx="186">
                  <c:v>0.28600000000000003</c:v>
                </c:pt>
                <c:pt idx="187">
                  <c:v>0.27300000000000002</c:v>
                </c:pt>
                <c:pt idx="188">
                  <c:v>0.27300000000000002</c:v>
                </c:pt>
                <c:pt idx="189">
                  <c:v>0.28100000000000003</c:v>
                </c:pt>
                <c:pt idx="190">
                  <c:v>0.26500000000000001</c:v>
                </c:pt>
                <c:pt idx="191">
                  <c:v>0.29899999999999999</c:v>
                </c:pt>
                <c:pt idx="192">
                  <c:v>0.26700000000000002</c:v>
                </c:pt>
                <c:pt idx="193">
                  <c:v>0.26600000000000001</c:v>
                </c:pt>
                <c:pt idx="194">
                  <c:v>0.26700000000000002</c:v>
                </c:pt>
                <c:pt idx="195">
                  <c:v>0.25600000000000001</c:v>
                </c:pt>
                <c:pt idx="196">
                  <c:v>0.255</c:v>
                </c:pt>
                <c:pt idx="197">
                  <c:v>0.29799999999999999</c:v>
                </c:pt>
                <c:pt idx="198">
                  <c:v>0.34200000000000003</c:v>
                </c:pt>
                <c:pt idx="199">
                  <c:v>0.33100000000000002</c:v>
                </c:pt>
                <c:pt idx="200">
                  <c:v>0.317</c:v>
                </c:pt>
                <c:pt idx="201">
                  <c:v>0.313</c:v>
                </c:pt>
                <c:pt idx="202">
                  <c:v>0.313</c:v>
                </c:pt>
                <c:pt idx="203">
                  <c:v>0.27399999999999997</c:v>
                </c:pt>
                <c:pt idx="204">
                  <c:v>0.28999999999999998</c:v>
                </c:pt>
                <c:pt idx="205">
                  <c:v>0.27600000000000002</c:v>
                </c:pt>
                <c:pt idx="206">
                  <c:v>0.24</c:v>
                </c:pt>
                <c:pt idx="207">
                  <c:v>0.22</c:v>
                </c:pt>
                <c:pt idx="208">
                  <c:v>0.21</c:v>
                </c:pt>
                <c:pt idx="209">
                  <c:v>0.16300000000000001</c:v>
                </c:pt>
                <c:pt idx="210">
                  <c:v>0.10800000000000001</c:v>
                </c:pt>
                <c:pt idx="211">
                  <c:v>0.106</c:v>
                </c:pt>
                <c:pt idx="212">
                  <c:v>0.11599999999999999</c:v>
                </c:pt>
                <c:pt idx="213">
                  <c:v>0.106</c:v>
                </c:pt>
                <c:pt idx="214">
                  <c:v>8.5000000000000006E-2</c:v>
                </c:pt>
                <c:pt idx="215">
                  <c:v>9.6000000000000002E-2</c:v>
                </c:pt>
                <c:pt idx="216">
                  <c:v>8.199999999999999E-2</c:v>
                </c:pt>
                <c:pt idx="217">
                  <c:v>5.7000000000000002E-2</c:v>
                </c:pt>
                <c:pt idx="218">
                  <c:v>7.5999999999999998E-2</c:v>
                </c:pt>
                <c:pt idx="219">
                  <c:v>8.199999999999999E-2</c:v>
                </c:pt>
                <c:pt idx="220">
                  <c:v>6.6000000000000003E-2</c:v>
                </c:pt>
                <c:pt idx="221">
                  <c:v>7.2999999999999995E-2</c:v>
                </c:pt>
                <c:pt idx="222">
                  <c:v>8.6999999999999994E-2</c:v>
                </c:pt>
                <c:pt idx="223">
                  <c:v>7.8E-2</c:v>
                </c:pt>
                <c:pt idx="224">
                  <c:v>8.3000000000000004E-2</c:v>
                </c:pt>
                <c:pt idx="225">
                  <c:v>7.8E-2</c:v>
                </c:pt>
                <c:pt idx="226">
                  <c:v>8.199999999999999E-2</c:v>
                </c:pt>
                <c:pt idx="227">
                  <c:v>6.7000000000000004E-2</c:v>
                </c:pt>
                <c:pt idx="228">
                  <c:v>6.5000000000000002E-2</c:v>
                </c:pt>
                <c:pt idx="229">
                  <c:v>9.5000000000000001E-2</c:v>
                </c:pt>
                <c:pt idx="230">
                  <c:v>9.6000000000000002E-2</c:v>
                </c:pt>
                <c:pt idx="231">
                  <c:v>0.10400000000000001</c:v>
                </c:pt>
                <c:pt idx="232">
                  <c:v>0.127</c:v>
                </c:pt>
                <c:pt idx="233">
                  <c:v>0.125</c:v>
                </c:pt>
                <c:pt idx="234">
                  <c:v>0.12300000000000001</c:v>
                </c:pt>
                <c:pt idx="235">
                  <c:v>0.14499999999999999</c:v>
                </c:pt>
                <c:pt idx="236">
                  <c:v>0.14699999999999999</c:v>
                </c:pt>
                <c:pt idx="237">
                  <c:v>0.17399999999999999</c:v>
                </c:pt>
                <c:pt idx="238">
                  <c:v>0.19600000000000001</c:v>
                </c:pt>
                <c:pt idx="239">
                  <c:v>0.217</c:v>
                </c:pt>
                <c:pt idx="240">
                  <c:v>0.27399999999999997</c:v>
                </c:pt>
                <c:pt idx="241">
                  <c:v>0.29899999999999999</c:v>
                </c:pt>
                <c:pt idx="242">
                  <c:v>0.29600000000000004</c:v>
                </c:pt>
                <c:pt idx="243">
                  <c:v>0.29799999999999999</c:v>
                </c:pt>
                <c:pt idx="244">
                  <c:v>0.31900000000000001</c:v>
                </c:pt>
                <c:pt idx="245">
                  <c:v>0.35100000000000003</c:v>
                </c:pt>
                <c:pt idx="246">
                  <c:v>0.39200000000000002</c:v>
                </c:pt>
                <c:pt idx="247">
                  <c:v>0.41200000000000003</c:v>
                </c:pt>
                <c:pt idx="248">
                  <c:v>0.39600000000000002</c:v>
                </c:pt>
                <c:pt idx="249">
                  <c:v>0.35700000000000004</c:v>
                </c:pt>
                <c:pt idx="250">
                  <c:v>0.35899999999999999</c:v>
                </c:pt>
                <c:pt idx="251">
                  <c:v>0.39100000000000001</c:v>
                </c:pt>
                <c:pt idx="252">
                  <c:v>0.46799999999999997</c:v>
                </c:pt>
                <c:pt idx="253">
                  <c:v>0.47200000000000003</c:v>
                </c:pt>
                <c:pt idx="254">
                  <c:v>0.51800000000000002</c:v>
                </c:pt>
                <c:pt idx="255">
                  <c:v>0.57799999999999996</c:v>
                </c:pt>
                <c:pt idx="256">
                  <c:v>0.56499999999999995</c:v>
                </c:pt>
                <c:pt idx="257">
                  <c:v>0.60099999999999998</c:v>
                </c:pt>
                <c:pt idx="258">
                  <c:v>0.61199999999999999</c:v>
                </c:pt>
                <c:pt idx="259">
                  <c:v>0.56799999999999995</c:v>
                </c:pt>
                <c:pt idx="260">
                  <c:v>0.59200000000000008</c:v>
                </c:pt>
                <c:pt idx="261">
                  <c:v>0.65200000000000002</c:v>
                </c:pt>
                <c:pt idx="262">
                  <c:v>0.68700000000000006</c:v>
                </c:pt>
                <c:pt idx="263">
                  <c:v>0.6409999999999999</c:v>
                </c:pt>
                <c:pt idx="264">
                  <c:v>0.63200000000000001</c:v>
                </c:pt>
                <c:pt idx="265">
                  <c:v>0.69499999999999995</c:v>
                </c:pt>
                <c:pt idx="266">
                  <c:v>0.76500000000000001</c:v>
                </c:pt>
                <c:pt idx="267">
                  <c:v>0.75900000000000001</c:v>
                </c:pt>
                <c:pt idx="268">
                  <c:v>0.79099999999999993</c:v>
                </c:pt>
                <c:pt idx="269">
                  <c:v>0.64800000000000002</c:v>
                </c:pt>
                <c:pt idx="270">
                  <c:v>0.56899999999999995</c:v>
                </c:pt>
                <c:pt idx="271">
                  <c:v>0.58399999999999996</c:v>
                </c:pt>
                <c:pt idx="272">
                  <c:v>0.55399999999999994</c:v>
                </c:pt>
                <c:pt idx="273">
                  <c:v>0.505</c:v>
                </c:pt>
                <c:pt idx="274">
                  <c:v>0.44700000000000001</c:v>
                </c:pt>
                <c:pt idx="275">
                  <c:v>0.43799999999999994</c:v>
                </c:pt>
                <c:pt idx="276">
                  <c:v>0.29600000000000004</c:v>
                </c:pt>
                <c:pt idx="277">
                  <c:v>0.223</c:v>
                </c:pt>
                <c:pt idx="278">
                  <c:v>0.14000000000000001</c:v>
                </c:pt>
                <c:pt idx="279">
                  <c:v>0.122</c:v>
                </c:pt>
                <c:pt idx="280">
                  <c:v>0.121</c:v>
                </c:pt>
                <c:pt idx="281">
                  <c:v>0.19899999999999998</c:v>
                </c:pt>
                <c:pt idx="282">
                  <c:v>0.22600000000000001</c:v>
                </c:pt>
                <c:pt idx="283">
                  <c:v>0.23899999999999999</c:v>
                </c:pt>
                <c:pt idx="284">
                  <c:v>0.27399999999999997</c:v>
                </c:pt>
                <c:pt idx="285">
                  <c:v>0.30199999999999999</c:v>
                </c:pt>
                <c:pt idx="286">
                  <c:v>0.34499999999999997</c:v>
                </c:pt>
                <c:pt idx="287">
                  <c:v>0.40100000000000002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1-4D8E-95AE-26453C4E4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014432"/>
        <c:axId val="573092432"/>
      </c:lineChart>
      <c:catAx>
        <c:axId val="72101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3092432"/>
        <c:crosses val="autoZero"/>
        <c:auto val="1"/>
        <c:lblAlgn val="ctr"/>
        <c:lblOffset val="100"/>
        <c:noMultiLvlLbl val="0"/>
      </c:catAx>
      <c:valAx>
        <c:axId val="5730924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101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Hoja1!$A$8:$B$319</c:f>
              <c:multiLvlStrCache>
                <c:ptCount val="312"/>
                <c:lvl>
                  <c:pt idx="0">
                    <c:v>Ene.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 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 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 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 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 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  <c:pt idx="120">
                    <c:v>Ene.</c:v>
                  </c:pt>
                  <c:pt idx="121">
                    <c:v>Feb.</c:v>
                  </c:pt>
                  <c:pt idx="122">
                    <c:v>Mar.</c:v>
                  </c:pt>
                  <c:pt idx="123">
                    <c:v>Abr.</c:v>
                  </c:pt>
                  <c:pt idx="124">
                    <c:v>May.</c:v>
                  </c:pt>
                  <c:pt idx="125">
                    <c:v>Jun.</c:v>
                  </c:pt>
                  <c:pt idx="126">
                    <c:v>Jul.</c:v>
                  </c:pt>
                  <c:pt idx="127">
                    <c:v>Ago.</c:v>
                  </c:pt>
                  <c:pt idx="128">
                    <c:v>Set.</c:v>
                  </c:pt>
                  <c:pt idx="129">
                    <c:v>Oct.</c:v>
                  </c:pt>
                  <c:pt idx="130">
                    <c:v>Nov.</c:v>
                  </c:pt>
                  <c:pt idx="131">
                    <c:v>Dic.</c:v>
                  </c:pt>
                  <c:pt idx="132">
                    <c:v>Ene. </c:v>
                  </c:pt>
                  <c:pt idx="133">
                    <c:v>Feb.</c:v>
                  </c:pt>
                  <c:pt idx="134">
                    <c:v>Mar.</c:v>
                  </c:pt>
                  <c:pt idx="135">
                    <c:v>Abr.</c:v>
                  </c:pt>
                  <c:pt idx="136">
                    <c:v>May.</c:v>
                  </c:pt>
                  <c:pt idx="137">
                    <c:v>Jun.</c:v>
                  </c:pt>
                  <c:pt idx="138">
                    <c:v>Jul.</c:v>
                  </c:pt>
                  <c:pt idx="139">
                    <c:v>Ago.</c:v>
                  </c:pt>
                  <c:pt idx="140">
                    <c:v>Set.</c:v>
                  </c:pt>
                  <c:pt idx="141">
                    <c:v>Oct.</c:v>
                  </c:pt>
                  <c:pt idx="142">
                    <c:v>Nov.</c:v>
                  </c:pt>
                  <c:pt idx="143">
                    <c:v>Dic.</c:v>
                  </c:pt>
                  <c:pt idx="144">
                    <c:v>Ene. </c:v>
                  </c:pt>
                  <c:pt idx="145">
                    <c:v>Feb.</c:v>
                  </c:pt>
                  <c:pt idx="146">
                    <c:v>Mar.</c:v>
                  </c:pt>
                  <c:pt idx="147">
                    <c:v>Abr.</c:v>
                  </c:pt>
                  <c:pt idx="148">
                    <c:v>May.</c:v>
                  </c:pt>
                  <c:pt idx="149">
                    <c:v>Jun.</c:v>
                  </c:pt>
                  <c:pt idx="150">
                    <c:v>Jul.</c:v>
                  </c:pt>
                  <c:pt idx="151">
                    <c:v>Ago.</c:v>
                  </c:pt>
                  <c:pt idx="152">
                    <c:v>Set.</c:v>
                  </c:pt>
                  <c:pt idx="153">
                    <c:v>Oct.</c:v>
                  </c:pt>
                  <c:pt idx="154">
                    <c:v>Nov.</c:v>
                  </c:pt>
                  <c:pt idx="155">
                    <c:v>Dic.</c:v>
                  </c:pt>
                  <c:pt idx="156">
                    <c:v>Ene. </c:v>
                  </c:pt>
                  <c:pt idx="157">
                    <c:v>Feb.</c:v>
                  </c:pt>
                  <c:pt idx="158">
                    <c:v>Mar.</c:v>
                  </c:pt>
                  <c:pt idx="159">
                    <c:v>Abr.</c:v>
                  </c:pt>
                  <c:pt idx="160">
                    <c:v>May.</c:v>
                  </c:pt>
                  <c:pt idx="161">
                    <c:v>Jun.</c:v>
                  </c:pt>
                  <c:pt idx="162">
                    <c:v>Jul.</c:v>
                  </c:pt>
                  <c:pt idx="163">
                    <c:v>Ago.</c:v>
                  </c:pt>
                  <c:pt idx="164">
                    <c:v>Set.</c:v>
                  </c:pt>
                  <c:pt idx="165">
                    <c:v>Oct.</c:v>
                  </c:pt>
                  <c:pt idx="166">
                    <c:v>Nov.</c:v>
                  </c:pt>
                  <c:pt idx="167">
                    <c:v>Dic.</c:v>
                  </c:pt>
                  <c:pt idx="168">
                    <c:v>Ene.</c:v>
                  </c:pt>
                  <c:pt idx="169">
                    <c:v>Feb.</c:v>
                  </c:pt>
                  <c:pt idx="170">
                    <c:v>Mar.</c:v>
                  </c:pt>
                  <c:pt idx="171">
                    <c:v>Abr.</c:v>
                  </c:pt>
                  <c:pt idx="172">
                    <c:v>May.</c:v>
                  </c:pt>
                  <c:pt idx="173">
                    <c:v>Jun.</c:v>
                  </c:pt>
                  <c:pt idx="174">
                    <c:v>Jul.</c:v>
                  </c:pt>
                  <c:pt idx="175">
                    <c:v>Ago.</c:v>
                  </c:pt>
                  <c:pt idx="176">
                    <c:v>Set.</c:v>
                  </c:pt>
                  <c:pt idx="177">
                    <c:v>Oct.</c:v>
                  </c:pt>
                  <c:pt idx="178">
                    <c:v>Nov.</c:v>
                  </c:pt>
                  <c:pt idx="179">
                    <c:v>Dic.</c:v>
                  </c:pt>
                  <c:pt idx="180">
                    <c:v>Ene.</c:v>
                  </c:pt>
                  <c:pt idx="181">
                    <c:v>Feb.</c:v>
                  </c:pt>
                  <c:pt idx="182">
                    <c:v>Mar.</c:v>
                  </c:pt>
                  <c:pt idx="183">
                    <c:v>Abr.</c:v>
                  </c:pt>
                  <c:pt idx="184">
                    <c:v>May.</c:v>
                  </c:pt>
                  <c:pt idx="185">
                    <c:v>Jun.</c:v>
                  </c:pt>
                  <c:pt idx="186">
                    <c:v>Jul.</c:v>
                  </c:pt>
                  <c:pt idx="187">
                    <c:v>Ago.</c:v>
                  </c:pt>
                  <c:pt idx="188">
                    <c:v>Set.</c:v>
                  </c:pt>
                  <c:pt idx="189">
                    <c:v>Oct.</c:v>
                  </c:pt>
                  <c:pt idx="190">
                    <c:v>Nov.</c:v>
                  </c:pt>
                  <c:pt idx="191">
                    <c:v>Dic.</c:v>
                  </c:pt>
                  <c:pt idx="192">
                    <c:v>Ene.</c:v>
                  </c:pt>
                  <c:pt idx="193">
                    <c:v>Feb.</c:v>
                  </c:pt>
                  <c:pt idx="194">
                    <c:v>Mar.</c:v>
                  </c:pt>
                  <c:pt idx="195">
                    <c:v>Abr.</c:v>
                  </c:pt>
                  <c:pt idx="196">
                    <c:v>May.</c:v>
                  </c:pt>
                  <c:pt idx="197">
                    <c:v>Jun.</c:v>
                  </c:pt>
                  <c:pt idx="198">
                    <c:v>Jul.</c:v>
                  </c:pt>
                  <c:pt idx="199">
                    <c:v>Ago.</c:v>
                  </c:pt>
                  <c:pt idx="200">
                    <c:v>Set.</c:v>
                  </c:pt>
                  <c:pt idx="201">
                    <c:v>Oct.</c:v>
                  </c:pt>
                  <c:pt idx="202">
                    <c:v>Nov.</c:v>
                  </c:pt>
                  <c:pt idx="203">
                    <c:v>Dic.</c:v>
                  </c:pt>
                  <c:pt idx="204">
                    <c:v>Ene. </c:v>
                  </c:pt>
                  <c:pt idx="205">
                    <c:v>Feb.</c:v>
                  </c:pt>
                  <c:pt idx="206">
                    <c:v>Mar.</c:v>
                  </c:pt>
                  <c:pt idx="207">
                    <c:v>Abr.</c:v>
                  </c:pt>
                  <c:pt idx="208">
                    <c:v>May.</c:v>
                  </c:pt>
                  <c:pt idx="209">
                    <c:v>Jun.</c:v>
                  </c:pt>
                  <c:pt idx="210">
                    <c:v>Jul.</c:v>
                  </c:pt>
                  <c:pt idx="211">
                    <c:v>Ago.</c:v>
                  </c:pt>
                  <c:pt idx="212">
                    <c:v>Set.</c:v>
                  </c:pt>
                  <c:pt idx="213">
                    <c:v>Oct.</c:v>
                  </c:pt>
                  <c:pt idx="214">
                    <c:v>Nov.</c:v>
                  </c:pt>
                  <c:pt idx="215">
                    <c:v>Dic.</c:v>
                  </c:pt>
                  <c:pt idx="216">
                    <c:v>Ene. </c:v>
                  </c:pt>
                  <c:pt idx="217">
                    <c:v>Feb.</c:v>
                  </c:pt>
                  <c:pt idx="218">
                    <c:v>Mar.</c:v>
                  </c:pt>
                  <c:pt idx="219">
                    <c:v>Abr.</c:v>
                  </c:pt>
                  <c:pt idx="220">
                    <c:v>May.</c:v>
                  </c:pt>
                  <c:pt idx="221">
                    <c:v>Jun.</c:v>
                  </c:pt>
                  <c:pt idx="222">
                    <c:v>Jul.</c:v>
                  </c:pt>
                  <c:pt idx="223">
                    <c:v>Ago.</c:v>
                  </c:pt>
                  <c:pt idx="224">
                    <c:v>Set.</c:v>
                  </c:pt>
                  <c:pt idx="225">
                    <c:v>Oct.</c:v>
                  </c:pt>
                  <c:pt idx="226">
                    <c:v>Nov.</c:v>
                  </c:pt>
                  <c:pt idx="227">
                    <c:v>Dic.</c:v>
                  </c:pt>
                  <c:pt idx="228">
                    <c:v>Ene.</c:v>
                  </c:pt>
                  <c:pt idx="229">
                    <c:v>Feb.</c:v>
                  </c:pt>
                  <c:pt idx="230">
                    <c:v>Mar.</c:v>
                  </c:pt>
                  <c:pt idx="231">
                    <c:v>Abr.</c:v>
                  </c:pt>
                  <c:pt idx="232">
                    <c:v>May.</c:v>
                  </c:pt>
                  <c:pt idx="233">
                    <c:v>Jun.</c:v>
                  </c:pt>
                  <c:pt idx="234">
                    <c:v>Jul.</c:v>
                  </c:pt>
                  <c:pt idx="235">
                    <c:v>Ago.</c:v>
                  </c:pt>
                  <c:pt idx="236">
                    <c:v>Set.</c:v>
                  </c:pt>
                  <c:pt idx="237">
                    <c:v>Oct.</c:v>
                  </c:pt>
                  <c:pt idx="238">
                    <c:v>Nov.</c:v>
                  </c:pt>
                  <c:pt idx="239">
                    <c:v>Dic.</c:v>
                  </c:pt>
                  <c:pt idx="240">
                    <c:v>Ene.</c:v>
                  </c:pt>
                  <c:pt idx="241">
                    <c:v>Feb.</c:v>
                  </c:pt>
                  <c:pt idx="242">
                    <c:v>Mar.</c:v>
                  </c:pt>
                  <c:pt idx="243">
                    <c:v>Abr.</c:v>
                  </c:pt>
                  <c:pt idx="244">
                    <c:v>May.</c:v>
                  </c:pt>
                  <c:pt idx="245">
                    <c:v>Jun.</c:v>
                  </c:pt>
                  <c:pt idx="246">
                    <c:v>Jul.</c:v>
                  </c:pt>
                  <c:pt idx="247">
                    <c:v>Ago.</c:v>
                  </c:pt>
                  <c:pt idx="248">
                    <c:v>Set.</c:v>
                  </c:pt>
                  <c:pt idx="249">
                    <c:v>Oct.</c:v>
                  </c:pt>
                  <c:pt idx="250">
                    <c:v>Nov.</c:v>
                  </c:pt>
                  <c:pt idx="251">
                    <c:v>Dic.</c:v>
                  </c:pt>
                  <c:pt idx="252">
                    <c:v>Ene. </c:v>
                  </c:pt>
                  <c:pt idx="253">
                    <c:v>Feb.</c:v>
                  </c:pt>
                  <c:pt idx="254">
                    <c:v>Mar.</c:v>
                  </c:pt>
                  <c:pt idx="255">
                    <c:v>Abr.</c:v>
                  </c:pt>
                  <c:pt idx="256">
                    <c:v>May.</c:v>
                  </c:pt>
                  <c:pt idx="257">
                    <c:v>Jun.</c:v>
                  </c:pt>
                  <c:pt idx="258">
                    <c:v>Jul.</c:v>
                  </c:pt>
                  <c:pt idx="259">
                    <c:v>Ago.</c:v>
                  </c:pt>
                  <c:pt idx="260">
                    <c:v>Set.</c:v>
                  </c:pt>
                  <c:pt idx="261">
                    <c:v>Oct.</c:v>
                  </c:pt>
                  <c:pt idx="262">
                    <c:v>Nov.</c:v>
                  </c:pt>
                  <c:pt idx="263">
                    <c:v>Dic.</c:v>
                  </c:pt>
                  <c:pt idx="264">
                    <c:v>Ene. </c:v>
                  </c:pt>
                  <c:pt idx="265">
                    <c:v>Feb.</c:v>
                  </c:pt>
                  <c:pt idx="266">
                    <c:v>Mar.</c:v>
                  </c:pt>
                  <c:pt idx="267">
                    <c:v>Abr.</c:v>
                  </c:pt>
                  <c:pt idx="268">
                    <c:v>May.</c:v>
                  </c:pt>
                  <c:pt idx="269">
                    <c:v>Jun.</c:v>
                  </c:pt>
                  <c:pt idx="270">
                    <c:v>Jul.</c:v>
                  </c:pt>
                  <c:pt idx="271">
                    <c:v>Ago.</c:v>
                  </c:pt>
                  <c:pt idx="272">
                    <c:v>Set.</c:v>
                  </c:pt>
                  <c:pt idx="273">
                    <c:v>Oct.</c:v>
                  </c:pt>
                  <c:pt idx="274">
                    <c:v>Nov.</c:v>
                  </c:pt>
                  <c:pt idx="275">
                    <c:v>Dic.</c:v>
                  </c:pt>
                  <c:pt idx="276">
                    <c:v>Ene. </c:v>
                  </c:pt>
                  <c:pt idx="277">
                    <c:v>Feb.</c:v>
                  </c:pt>
                  <c:pt idx="278">
                    <c:v>Mar.</c:v>
                  </c:pt>
                  <c:pt idx="279">
                    <c:v>Abr.</c:v>
                  </c:pt>
                  <c:pt idx="280">
                    <c:v>May.</c:v>
                  </c:pt>
                  <c:pt idx="281">
                    <c:v>Jun.</c:v>
                  </c:pt>
                  <c:pt idx="282">
                    <c:v>Jul.</c:v>
                  </c:pt>
                  <c:pt idx="283">
                    <c:v>Ago.</c:v>
                  </c:pt>
                  <c:pt idx="284">
                    <c:v>Set.</c:v>
                  </c:pt>
                  <c:pt idx="285">
                    <c:v>Oct.</c:v>
                  </c:pt>
                  <c:pt idx="286">
                    <c:v>Nov.</c:v>
                  </c:pt>
                  <c:pt idx="287">
                    <c:v>Dic.</c:v>
                  </c:pt>
                  <c:pt idx="288">
                    <c:v>Ene.</c:v>
                  </c:pt>
                  <c:pt idx="289">
                    <c:v>Feb.</c:v>
                  </c:pt>
                  <c:pt idx="290">
                    <c:v>Mar.</c:v>
                  </c:pt>
                  <c:pt idx="291">
                    <c:v>Abr.</c:v>
                  </c:pt>
                  <c:pt idx="292">
                    <c:v>May.</c:v>
                  </c:pt>
                  <c:pt idx="293">
                    <c:v>Jun.</c:v>
                  </c:pt>
                  <c:pt idx="294">
                    <c:v>Jul.</c:v>
                  </c:pt>
                  <c:pt idx="295">
                    <c:v>Ago.</c:v>
                  </c:pt>
                  <c:pt idx="296">
                    <c:v>Set.</c:v>
                  </c:pt>
                  <c:pt idx="297">
                    <c:v>Oct.</c:v>
                  </c:pt>
                  <c:pt idx="298">
                    <c:v>Nov.</c:v>
                  </c:pt>
                  <c:pt idx="299">
                    <c:v>Dic.</c:v>
                  </c:pt>
                  <c:pt idx="300">
                    <c:v>Ene.</c:v>
                  </c:pt>
                  <c:pt idx="301">
                    <c:v>Feb.</c:v>
                  </c:pt>
                  <c:pt idx="302">
                    <c:v>Mar.</c:v>
                  </c:pt>
                  <c:pt idx="303">
                    <c:v>Abr.</c:v>
                  </c:pt>
                  <c:pt idx="304">
                    <c:v>May.</c:v>
                  </c:pt>
                  <c:pt idx="305">
                    <c:v>Jun.</c:v>
                  </c:pt>
                  <c:pt idx="306">
                    <c:v>Jul.</c:v>
                  </c:pt>
                  <c:pt idx="307">
                    <c:v>Ago.</c:v>
                  </c:pt>
                  <c:pt idx="308">
                    <c:v>Set.</c:v>
                  </c:pt>
                  <c:pt idx="309">
                    <c:v>Oct.</c:v>
                  </c:pt>
                  <c:pt idx="310">
                    <c:v>Nov.</c:v>
                  </c:pt>
                  <c:pt idx="311">
                    <c:v>Dic.</c:v>
                  </c:pt>
                </c:lvl>
                <c:lvl>
                  <c:pt idx="0">
                    <c:v>1950 </c:v>
                  </c:pt>
                  <c:pt idx="12">
                    <c:v>1951 </c:v>
                  </c:pt>
                  <c:pt idx="24">
                    <c:v>1952 </c:v>
                  </c:pt>
                  <c:pt idx="36">
                    <c:v>1953 </c:v>
                  </c:pt>
                  <c:pt idx="48">
                    <c:v>1954 </c:v>
                  </c:pt>
                  <c:pt idx="60">
                    <c:v>1955 </c:v>
                  </c:pt>
                  <c:pt idx="72">
                    <c:v>1956 </c:v>
                  </c:pt>
                  <c:pt idx="84">
                    <c:v>1957 </c:v>
                  </c:pt>
                  <c:pt idx="96">
                    <c:v>1958 </c:v>
                  </c:pt>
                  <c:pt idx="108">
                    <c:v>1959 </c:v>
                  </c:pt>
                  <c:pt idx="120">
                    <c:v>1960 </c:v>
                  </c:pt>
                  <c:pt idx="132">
                    <c:v>1961 </c:v>
                  </c:pt>
                  <c:pt idx="144">
                    <c:v>1962 </c:v>
                  </c:pt>
                  <c:pt idx="156">
                    <c:v>1963 </c:v>
                  </c:pt>
                  <c:pt idx="168">
                    <c:v>1964 </c:v>
                  </c:pt>
                  <c:pt idx="180">
                    <c:v>1965 </c:v>
                  </c:pt>
                  <c:pt idx="192">
                    <c:v>1966 </c:v>
                  </c:pt>
                  <c:pt idx="204">
                    <c:v>1967 </c:v>
                  </c:pt>
                  <c:pt idx="216">
                    <c:v>1968 </c:v>
                  </c:pt>
                  <c:pt idx="228">
                    <c:v>1969 </c:v>
                  </c:pt>
                  <c:pt idx="240">
                    <c:v>1970 </c:v>
                  </c:pt>
                  <c:pt idx="252">
                    <c:v>1971 </c:v>
                  </c:pt>
                  <c:pt idx="264">
                    <c:v>1972 </c:v>
                  </c:pt>
                  <c:pt idx="276">
                    <c:v>1973 </c:v>
                  </c:pt>
                  <c:pt idx="288">
                    <c:v>1974 </c:v>
                  </c:pt>
                  <c:pt idx="300">
                    <c:v>1975 </c:v>
                  </c:pt>
                </c:lvl>
              </c:multiLvlStrCache>
            </c:multiLvlStrRef>
          </c:cat>
          <c:val>
            <c:numRef>
              <c:f>Hoja1!$L$8:$L$319</c:f>
              <c:numCache>
                <c:formatCode>0</c:formatCode>
                <c:ptCount val="312"/>
                <c:pt idx="0">
                  <c:v>9.02</c:v>
                </c:pt>
                <c:pt idx="1">
                  <c:v>8.7909070311357969</c:v>
                </c:pt>
                <c:pt idx="2">
                  <c:v>8.7880166587513244</c:v>
                </c:pt>
                <c:pt idx="3">
                  <c:v>8.6010576372997694</c:v>
                </c:pt>
                <c:pt idx="4">
                  <c:v>8.210607550003413</c:v>
                </c:pt>
                <c:pt idx="5">
                  <c:v>7.9826902719474351</c:v>
                </c:pt>
                <c:pt idx="6">
                  <c:v>7.9801744957537153</c:v>
                </c:pt>
                <c:pt idx="7">
                  <c:v>8.6272709499056379</c:v>
                </c:pt>
                <c:pt idx="8">
                  <c:v>11.618156354198179</c:v>
                </c:pt>
                <c:pt idx="9">
                  <c:v>11.156113661537516</c:v>
                </c:pt>
                <c:pt idx="10">
                  <c:v>11.545427076062055</c:v>
                </c:pt>
                <c:pt idx="11">
                  <c:v>11.570267826873774</c:v>
                </c:pt>
                <c:pt idx="12">
                  <c:v>11.411086101973684</c:v>
                </c:pt>
                <c:pt idx="13">
                  <c:v>11.070165830855485</c:v>
                </c:pt>
                <c:pt idx="14">
                  <c:v>11.074073918173506</c:v>
                </c:pt>
                <c:pt idx="15">
                  <c:v>10.134342654239994</c:v>
                </c:pt>
                <c:pt idx="16">
                  <c:v>9.5161206631336448</c:v>
                </c:pt>
                <c:pt idx="17">
                  <c:v>9.1892850083456192</c:v>
                </c:pt>
                <c:pt idx="18">
                  <c:v>9.0666796295176706</c:v>
                </c:pt>
                <c:pt idx="19">
                  <c:v>8.3534376920012399</c:v>
                </c:pt>
                <c:pt idx="20">
                  <c:v>8.6749235597369339</c:v>
                </c:pt>
                <c:pt idx="21">
                  <c:v>8.4124071397293854</c:v>
                </c:pt>
                <c:pt idx="22">
                  <c:v>8.4127472241620094</c:v>
                </c:pt>
                <c:pt idx="23">
                  <c:v>7.6809825872195177</c:v>
                </c:pt>
                <c:pt idx="24">
                  <c:v>7.392488582057104</c:v>
                </c:pt>
                <c:pt idx="25">
                  <c:v>7.2331192303634273</c:v>
                </c:pt>
                <c:pt idx="26">
                  <c:v>6.9741891855621105</c:v>
                </c:pt>
                <c:pt idx="27">
                  <c:v>6.5639139701948128</c:v>
                </c:pt>
                <c:pt idx="28">
                  <c:v>6.4530325166883991</c:v>
                </c:pt>
                <c:pt idx="29">
                  <c:v>6.3075447663203486</c:v>
                </c:pt>
                <c:pt idx="30">
                  <c:v>6.5756761055389426</c:v>
                </c:pt>
                <c:pt idx="31">
                  <c:v>6.6025824881527084</c:v>
                </c:pt>
                <c:pt idx="32">
                  <c:v>6.3879990196162435</c:v>
                </c:pt>
                <c:pt idx="33">
                  <c:v>6.3237261302226928</c:v>
                </c:pt>
                <c:pt idx="34">
                  <c:v>6.3075823989845574</c:v>
                </c:pt>
                <c:pt idx="35">
                  <c:v>6.2850323358544333</c:v>
                </c:pt>
                <c:pt idx="36">
                  <c:v>6.3667920837746417</c:v>
                </c:pt>
                <c:pt idx="37">
                  <c:v>6.0173445005045405</c:v>
                </c:pt>
                <c:pt idx="38">
                  <c:v>6.0458472232360831</c:v>
                </c:pt>
                <c:pt idx="39">
                  <c:v>6.3106262381686111</c:v>
                </c:pt>
                <c:pt idx="40">
                  <c:v>6.4146791793600793</c:v>
                </c:pt>
                <c:pt idx="41">
                  <c:v>6.4257387803658554</c:v>
                </c:pt>
                <c:pt idx="42">
                  <c:v>6.3758322641348038</c:v>
                </c:pt>
                <c:pt idx="43">
                  <c:v>6.3705466339620713</c:v>
                </c:pt>
                <c:pt idx="44">
                  <c:v>6.4146791793600793</c:v>
                </c:pt>
                <c:pt idx="45">
                  <c:v>6.4423998720851845</c:v>
                </c:pt>
                <c:pt idx="46">
                  <c:v>6.3966785092122986</c:v>
                </c:pt>
                <c:pt idx="47">
                  <c:v>6.3300260708583842</c:v>
                </c:pt>
                <c:pt idx="48">
                  <c:v>6.4571892027686095</c:v>
                </c:pt>
                <c:pt idx="49">
                  <c:v>6.4724899334919348</c:v>
                </c:pt>
                <c:pt idx="50">
                  <c:v>6.4617792900177706</c:v>
                </c:pt>
                <c:pt idx="51">
                  <c:v>6.3309938167796282</c:v>
                </c:pt>
                <c:pt idx="52">
                  <c:v>6.3429537254501511</c:v>
                </c:pt>
                <c:pt idx="53">
                  <c:v>6.2445948210141839</c:v>
                </c:pt>
                <c:pt idx="54">
                  <c:v>6.1084723053094807</c:v>
                </c:pt>
                <c:pt idx="55">
                  <c:v>6.0656246694171152</c:v>
                </c:pt>
                <c:pt idx="56">
                  <c:v>5.9216892020718799</c:v>
                </c:pt>
                <c:pt idx="57">
                  <c:v>5.7551669054972194</c:v>
                </c:pt>
                <c:pt idx="58">
                  <c:v>5.6971263231101972</c:v>
                </c:pt>
                <c:pt idx="59">
                  <c:v>5.4563981406924817</c:v>
                </c:pt>
                <c:pt idx="60">
                  <c:v>5.5782866230121604</c:v>
                </c:pt>
                <c:pt idx="61">
                  <c:v>5.5707408486913881</c:v>
                </c:pt>
                <c:pt idx="62">
                  <c:v>5.5629663489883798</c:v>
                </c:pt>
                <c:pt idx="63">
                  <c:v>5.4839765896868071</c:v>
                </c:pt>
                <c:pt idx="64">
                  <c:v>5.4829930920472574</c:v>
                </c:pt>
                <c:pt idx="65">
                  <c:v>5.4448713232877326</c:v>
                </c:pt>
                <c:pt idx="66">
                  <c:v>5.4212666865437189</c:v>
                </c:pt>
                <c:pt idx="67">
                  <c:v>5.4045797347441642</c:v>
                </c:pt>
                <c:pt idx="68">
                  <c:v>5.3660125076481213</c:v>
                </c:pt>
                <c:pt idx="69">
                  <c:v>5.3728032491859024</c:v>
                </c:pt>
                <c:pt idx="70">
                  <c:v>12.525309684806327</c:v>
                </c:pt>
                <c:pt idx="71">
                  <c:v>13.038597583402577</c:v>
                </c:pt>
                <c:pt idx="72">
                  <c:v>14.550274242967953</c:v>
                </c:pt>
                <c:pt idx="73">
                  <c:v>15.805253136387657</c:v>
                </c:pt>
                <c:pt idx="74">
                  <c:v>15.146023054152879</c:v>
                </c:pt>
                <c:pt idx="75">
                  <c:v>14.171360272350505</c:v>
                </c:pt>
                <c:pt idx="76">
                  <c:v>12.870268315914288</c:v>
                </c:pt>
                <c:pt idx="77">
                  <c:v>11.248629473920584</c:v>
                </c:pt>
                <c:pt idx="78">
                  <c:v>10.678301711706061</c:v>
                </c:pt>
                <c:pt idx="79">
                  <c:v>10.299376295446956</c:v>
                </c:pt>
                <c:pt idx="80">
                  <c:v>10.523301442901088</c:v>
                </c:pt>
                <c:pt idx="81">
                  <c:v>10.470012744054836</c:v>
                </c:pt>
                <c:pt idx="82">
                  <c:v>11.10659989643303</c:v>
                </c:pt>
                <c:pt idx="83">
                  <c:v>11.165990531065924</c:v>
                </c:pt>
                <c:pt idx="84">
                  <c:v>11.958613923340753</c:v>
                </c:pt>
                <c:pt idx="85">
                  <c:v>11.661789421882689</c:v>
                </c:pt>
                <c:pt idx="86">
                  <c:v>11.872720304780856</c:v>
                </c:pt>
                <c:pt idx="87">
                  <c:v>11.959574676575832</c:v>
                </c:pt>
                <c:pt idx="88">
                  <c:v>11.248054450329068</c:v>
                </c:pt>
                <c:pt idx="89">
                  <c:v>11.172997993945737</c:v>
                </c:pt>
                <c:pt idx="90">
                  <c:v>11.476200849701996</c:v>
                </c:pt>
                <c:pt idx="91">
                  <c:v>11.190847745959736</c:v>
                </c:pt>
                <c:pt idx="92">
                  <c:v>11.582931600797558</c:v>
                </c:pt>
                <c:pt idx="93">
                  <c:v>10.203534895247536</c:v>
                </c:pt>
                <c:pt idx="94">
                  <c:v>9.5414686576045522</c:v>
                </c:pt>
                <c:pt idx="95">
                  <c:v>9.2026167729224362</c:v>
                </c:pt>
                <c:pt idx="96">
                  <c:v>9.4988199747976161</c:v>
                </c:pt>
                <c:pt idx="97">
                  <c:v>9.507244119696427</c:v>
                </c:pt>
                <c:pt idx="98">
                  <c:v>9.5627126666759299</c:v>
                </c:pt>
                <c:pt idx="99">
                  <c:v>9.777772933519211</c:v>
                </c:pt>
                <c:pt idx="100">
                  <c:v>9.387320718834582</c:v>
                </c:pt>
                <c:pt idx="101">
                  <c:v>8.9736795098141027</c:v>
                </c:pt>
                <c:pt idx="102">
                  <c:v>8.780839898857522</c:v>
                </c:pt>
                <c:pt idx="103">
                  <c:v>8.8724103916577945</c:v>
                </c:pt>
                <c:pt idx="104">
                  <c:v>9.5541795155379177</c:v>
                </c:pt>
                <c:pt idx="105">
                  <c:v>11.459485856490501</c:v>
                </c:pt>
                <c:pt idx="106">
                  <c:v>12.786738704914857</c:v>
                </c:pt>
                <c:pt idx="107">
                  <c:v>10.869200570866687</c:v>
                </c:pt>
                <c:pt idx="108">
                  <c:v>9.193847833143117</c:v>
                </c:pt>
                <c:pt idx="109">
                  <c:v>8.4426799259922305</c:v>
                </c:pt>
                <c:pt idx="110">
                  <c:v>8.1410123208932017</c:v>
                </c:pt>
                <c:pt idx="111">
                  <c:v>8.1272903394999911</c:v>
                </c:pt>
                <c:pt idx="112">
                  <c:v>8.5194785990762725</c:v>
                </c:pt>
                <c:pt idx="113">
                  <c:v>8.4708907199451264</c:v>
                </c:pt>
                <c:pt idx="114">
                  <c:v>7.7425321558086955</c:v>
                </c:pt>
                <c:pt idx="115">
                  <c:v>7.3693052579650562</c:v>
                </c:pt>
                <c:pt idx="116">
                  <c:v>7.1832063079147845</c:v>
                </c:pt>
                <c:pt idx="117">
                  <c:v>7.0303182283144032</c:v>
                </c:pt>
                <c:pt idx="118">
                  <c:v>6.9491092435388664</c:v>
                </c:pt>
                <c:pt idx="119">
                  <c:v>6.7975686712174825</c:v>
                </c:pt>
                <c:pt idx="120">
                  <c:v>6.5932574127478718</c:v>
                </c:pt>
                <c:pt idx="121">
                  <c:v>6.5275496526491477</c:v>
                </c:pt>
                <c:pt idx="122">
                  <c:v>6.4820146864224606</c:v>
                </c:pt>
                <c:pt idx="123">
                  <c:v>6.5237842539852053</c:v>
                </c:pt>
                <c:pt idx="124">
                  <c:v>6.5143099337670467</c:v>
                </c:pt>
                <c:pt idx="125">
                  <c:v>6.5342038539328993</c:v>
                </c:pt>
                <c:pt idx="126">
                  <c:v>6.4660686701059307</c:v>
                </c:pt>
                <c:pt idx="127">
                  <c:v>6.4319092453033546</c:v>
                </c:pt>
                <c:pt idx="128">
                  <c:v>6.423095160837371</c:v>
                </c:pt>
                <c:pt idx="129">
                  <c:v>6.3787068659405115</c:v>
                </c:pt>
                <c:pt idx="130">
                  <c:v>6.2285405107001415</c:v>
                </c:pt>
                <c:pt idx="131">
                  <c:v>5.7009596951268273</c:v>
                </c:pt>
                <c:pt idx="132">
                  <c:v>6.0606784978003763</c:v>
                </c:pt>
                <c:pt idx="133">
                  <c:v>5.9845288681221476</c:v>
                </c:pt>
                <c:pt idx="134">
                  <c:v>5.921403598682021</c:v>
                </c:pt>
                <c:pt idx="135">
                  <c:v>5.7993434314271015</c:v>
                </c:pt>
                <c:pt idx="136">
                  <c:v>5.7630735816804082</c:v>
                </c:pt>
                <c:pt idx="137">
                  <c:v>5.6731465931704017</c:v>
                </c:pt>
                <c:pt idx="138">
                  <c:v>5.5825316744230218</c:v>
                </c:pt>
                <c:pt idx="139">
                  <c:v>5.5448793634400166</c:v>
                </c:pt>
                <c:pt idx="140">
                  <c:v>5.5028585319754786</c:v>
                </c:pt>
                <c:pt idx="141">
                  <c:v>5.5021172071064735</c:v>
                </c:pt>
                <c:pt idx="142">
                  <c:v>5.3330999664061443</c:v>
                </c:pt>
                <c:pt idx="143">
                  <c:v>4.8959428955130608</c:v>
                </c:pt>
                <c:pt idx="144">
                  <c:v>5.1116075781076891</c:v>
                </c:pt>
                <c:pt idx="145">
                  <c:v>5.0391458958127595</c:v>
                </c:pt>
                <c:pt idx="146">
                  <c:v>4.9443073493915177</c:v>
                </c:pt>
                <c:pt idx="147">
                  <c:v>5.5185780548974686</c:v>
                </c:pt>
                <c:pt idx="148">
                  <c:v>5.8969831425153165</c:v>
                </c:pt>
                <c:pt idx="149">
                  <c:v>6.480223473733929</c:v>
                </c:pt>
                <c:pt idx="150">
                  <c:v>6.4428972303675529</c:v>
                </c:pt>
                <c:pt idx="151">
                  <c:v>6.4362153834738853</c:v>
                </c:pt>
                <c:pt idx="152">
                  <c:v>6.399015358138457</c:v>
                </c:pt>
                <c:pt idx="153">
                  <c:v>6.7020872768673261</c:v>
                </c:pt>
                <c:pt idx="154">
                  <c:v>7.2914362458318447</c:v>
                </c:pt>
                <c:pt idx="155">
                  <c:v>6.4064956759089755</c:v>
                </c:pt>
                <c:pt idx="156">
                  <c:v>6.3201320744873222</c:v>
                </c:pt>
                <c:pt idx="157">
                  <c:v>6.2897559795909261</c:v>
                </c:pt>
                <c:pt idx="158">
                  <c:v>6.0739610906270638</c:v>
                </c:pt>
                <c:pt idx="159">
                  <c:v>6.0397713206807335</c:v>
                </c:pt>
                <c:pt idx="160">
                  <c:v>6.0551497577696196</c:v>
                </c:pt>
                <c:pt idx="161">
                  <c:v>5.9890554982248281</c:v>
                </c:pt>
                <c:pt idx="162">
                  <c:v>5.8637592241671168</c:v>
                </c:pt>
                <c:pt idx="163">
                  <c:v>5.7364232068390164</c:v>
                </c:pt>
                <c:pt idx="164">
                  <c:v>5.9888148218063968</c:v>
                </c:pt>
                <c:pt idx="165">
                  <c:v>6.0222074901264016</c:v>
                </c:pt>
                <c:pt idx="166">
                  <c:v>5.7039007321210669</c:v>
                </c:pt>
                <c:pt idx="167">
                  <c:v>4.9509700317671621</c:v>
                </c:pt>
                <c:pt idx="168">
                  <c:v>4.8949196945896798</c:v>
                </c:pt>
                <c:pt idx="169">
                  <c:v>4.8844274933007013</c:v>
                </c:pt>
                <c:pt idx="170">
                  <c:v>4.9975527808739342</c:v>
                </c:pt>
                <c:pt idx="171">
                  <c:v>4.9083545158115331</c:v>
                </c:pt>
                <c:pt idx="172">
                  <c:v>4.886193178703004</c:v>
                </c:pt>
                <c:pt idx="173">
                  <c:v>4.8488451367410317</c:v>
                </c:pt>
                <c:pt idx="174">
                  <c:v>4.8241883713152358</c:v>
                </c:pt>
                <c:pt idx="175">
                  <c:v>4.9960324217093905</c:v>
                </c:pt>
                <c:pt idx="176">
                  <c:v>5.0017462078011308</c:v>
                </c:pt>
                <c:pt idx="177">
                  <c:v>4.8141494271944971</c:v>
                </c:pt>
                <c:pt idx="178">
                  <c:v>4.939971288494081</c:v>
                </c:pt>
                <c:pt idx="179">
                  <c:v>4.6503605921292568</c:v>
                </c:pt>
                <c:pt idx="180">
                  <c:v>4.8405016917315864</c:v>
                </c:pt>
                <c:pt idx="181">
                  <c:v>4.6308153907999774</c:v>
                </c:pt>
                <c:pt idx="182">
                  <c:v>4.504745077150802</c:v>
                </c:pt>
                <c:pt idx="183">
                  <c:v>4.7554668101941502</c:v>
                </c:pt>
                <c:pt idx="184">
                  <c:v>4.970305655744828</c:v>
                </c:pt>
                <c:pt idx="185">
                  <c:v>4.7900644588568255</c:v>
                </c:pt>
                <c:pt idx="186">
                  <c:v>4.5821749384618453</c:v>
                </c:pt>
                <c:pt idx="187">
                  <c:v>4.4778805021903532</c:v>
                </c:pt>
                <c:pt idx="188">
                  <c:v>4.5348232553653238</c:v>
                </c:pt>
                <c:pt idx="189">
                  <c:v>4.4979171995486169</c:v>
                </c:pt>
                <c:pt idx="190">
                  <c:v>4.3370013160163738</c:v>
                </c:pt>
                <c:pt idx="191">
                  <c:v>4.1870450838241959</c:v>
                </c:pt>
                <c:pt idx="192">
                  <c:v>4.3223017196232796</c:v>
                </c:pt>
                <c:pt idx="193">
                  <c:v>4.2349313211160995</c:v>
                </c:pt>
                <c:pt idx="194">
                  <c:v>4.1379869034406225</c:v>
                </c:pt>
                <c:pt idx="195">
                  <c:v>4.0544457921569581</c:v>
                </c:pt>
                <c:pt idx="196">
                  <c:v>4.0415467767843971</c:v>
                </c:pt>
                <c:pt idx="197">
                  <c:v>4.2737349700428418</c:v>
                </c:pt>
                <c:pt idx="198">
                  <c:v>4.2308426294433223</c:v>
                </c:pt>
                <c:pt idx="199">
                  <c:v>4.354335953664747</c:v>
                </c:pt>
                <c:pt idx="200">
                  <c:v>4.3894674046460871</c:v>
                </c:pt>
                <c:pt idx="201">
                  <c:v>4.2602730619991407</c:v>
                </c:pt>
                <c:pt idx="202">
                  <c:v>4.6805207587508155</c:v>
                </c:pt>
                <c:pt idx="203">
                  <c:v>4.2302058822579758</c:v>
                </c:pt>
                <c:pt idx="204">
                  <c:v>4.438810115861509</c:v>
                </c:pt>
                <c:pt idx="205">
                  <c:v>4.4403513466896642</c:v>
                </c:pt>
                <c:pt idx="206">
                  <c:v>5.6599352460080476</c:v>
                </c:pt>
                <c:pt idx="207">
                  <c:v>5.9861155646764574</c:v>
                </c:pt>
                <c:pt idx="208">
                  <c:v>5.9296445700854425</c:v>
                </c:pt>
                <c:pt idx="209">
                  <c:v>5.6822000365252334</c:v>
                </c:pt>
                <c:pt idx="210">
                  <c:v>5.412042674088247</c:v>
                </c:pt>
                <c:pt idx="211">
                  <c:v>5.3937476524804264</c:v>
                </c:pt>
                <c:pt idx="212">
                  <c:v>5.368928129763308</c:v>
                </c:pt>
                <c:pt idx="213">
                  <c:v>5.2194201358794423</c:v>
                </c:pt>
                <c:pt idx="214">
                  <c:v>5.1018829766882563</c:v>
                </c:pt>
                <c:pt idx="215">
                  <c:v>4.7331017696871349</c:v>
                </c:pt>
                <c:pt idx="216">
                  <c:v>4.9016173922176121</c:v>
                </c:pt>
                <c:pt idx="217">
                  <c:v>4.854078369172365</c:v>
                </c:pt>
                <c:pt idx="218">
                  <c:v>4.8857105469772302</c:v>
                </c:pt>
                <c:pt idx="219">
                  <c:v>4.906125988804499</c:v>
                </c:pt>
                <c:pt idx="220">
                  <c:v>4.9007166671041924</c:v>
                </c:pt>
                <c:pt idx="221">
                  <c:v>4.8837933289731854</c:v>
                </c:pt>
                <c:pt idx="222">
                  <c:v>4.8866057639452398</c:v>
                </c:pt>
                <c:pt idx="223">
                  <c:v>4.8785606021010821</c:v>
                </c:pt>
                <c:pt idx="224">
                  <c:v>4.8115415345756327</c:v>
                </c:pt>
                <c:pt idx="225">
                  <c:v>4.7189838220424667</c:v>
                </c:pt>
                <c:pt idx="226">
                  <c:v>4.7034088332367547</c:v>
                </c:pt>
                <c:pt idx="227">
                  <c:v>4.319965751839681</c:v>
                </c:pt>
                <c:pt idx="228">
                  <c:v>4.5288323912568833</c:v>
                </c:pt>
                <c:pt idx="229">
                  <c:v>4.5905279464922417</c:v>
                </c:pt>
                <c:pt idx="230">
                  <c:v>4.5395146386538263</c:v>
                </c:pt>
                <c:pt idx="231">
                  <c:v>4.5348831560025262</c:v>
                </c:pt>
                <c:pt idx="232">
                  <c:v>4.5983299669934485</c:v>
                </c:pt>
                <c:pt idx="233">
                  <c:v>4.55335495987707</c:v>
                </c:pt>
                <c:pt idx="234">
                  <c:v>4.4934049005921146</c:v>
                </c:pt>
                <c:pt idx="235">
                  <c:v>4.5272947738571601</c:v>
                </c:pt>
                <c:pt idx="236">
                  <c:v>4.4445158679141965</c:v>
                </c:pt>
                <c:pt idx="237">
                  <c:v>4.3781191369606001</c:v>
                </c:pt>
                <c:pt idx="238">
                  <c:v>4.3471264903129647</c:v>
                </c:pt>
                <c:pt idx="239">
                  <c:v>4.0501377649534636</c:v>
                </c:pt>
                <c:pt idx="240">
                  <c:v>4.2505236794171219</c:v>
                </c:pt>
                <c:pt idx="241">
                  <c:v>4.1937099853981801</c:v>
                </c:pt>
                <c:pt idx="242">
                  <c:v>4.1402306498114871</c:v>
                </c:pt>
                <c:pt idx="243">
                  <c:v>4.1087023505590281</c:v>
                </c:pt>
                <c:pt idx="244">
                  <c:v>4.0785414663986712</c:v>
                </c:pt>
                <c:pt idx="245">
                  <c:v>4.6273233999175831</c:v>
                </c:pt>
                <c:pt idx="246">
                  <c:v>4.5711102541029263</c:v>
                </c:pt>
                <c:pt idx="247">
                  <c:v>4.5200737272515408</c:v>
                </c:pt>
                <c:pt idx="248">
                  <c:v>4.4297905030832796</c:v>
                </c:pt>
                <c:pt idx="249">
                  <c:v>4.2608192039622148</c:v>
                </c:pt>
                <c:pt idx="250">
                  <c:v>4.1534837541612317</c:v>
                </c:pt>
                <c:pt idx="251">
                  <c:v>3.8020493629154419</c:v>
                </c:pt>
                <c:pt idx="252">
                  <c:v>3.8128529558939168</c:v>
                </c:pt>
                <c:pt idx="253">
                  <c:v>3.6896790260099612</c:v>
                </c:pt>
                <c:pt idx="254">
                  <c:v>3.6512244793181936</c:v>
                </c:pt>
                <c:pt idx="255">
                  <c:v>3.6548367509625326</c:v>
                </c:pt>
                <c:pt idx="256">
                  <c:v>3.6387693734269435</c:v>
                </c:pt>
                <c:pt idx="257">
                  <c:v>3.7686225391013912</c:v>
                </c:pt>
                <c:pt idx="258">
                  <c:v>3.8595384354841187</c:v>
                </c:pt>
                <c:pt idx="259">
                  <c:v>4.0010501837821604</c:v>
                </c:pt>
                <c:pt idx="260">
                  <c:v>5.3134186776097643</c:v>
                </c:pt>
                <c:pt idx="261">
                  <c:v>6.0442773256412892</c:v>
                </c:pt>
                <c:pt idx="262">
                  <c:v>6.1910724521380249</c:v>
                </c:pt>
                <c:pt idx="263">
                  <c:v>5.6366052672029507</c:v>
                </c:pt>
                <c:pt idx="264">
                  <c:v>6.2340333832499359</c:v>
                </c:pt>
                <c:pt idx="265">
                  <c:v>6.0667627048939545</c:v>
                </c:pt>
                <c:pt idx="266">
                  <c:v>5.862640211938448</c:v>
                </c:pt>
                <c:pt idx="267">
                  <c:v>5.6588240478980119</c:v>
                </c:pt>
                <c:pt idx="268">
                  <c:v>5.5862535175507269</c:v>
                </c:pt>
                <c:pt idx="269">
                  <c:v>5.3218725870661716</c:v>
                </c:pt>
                <c:pt idx="270">
                  <c:v>5.0702489682054406</c:v>
                </c:pt>
                <c:pt idx="271">
                  <c:v>5.091957528218864</c:v>
                </c:pt>
                <c:pt idx="272">
                  <c:v>4.9701985975854557</c:v>
                </c:pt>
                <c:pt idx="273">
                  <c:v>4.7407333125528792</c:v>
                </c:pt>
                <c:pt idx="274">
                  <c:v>4.5203614161125687</c:v>
                </c:pt>
                <c:pt idx="275">
                  <c:v>4.1538942472765861</c:v>
                </c:pt>
                <c:pt idx="276">
                  <c:v>3.9703535413807503</c:v>
                </c:pt>
                <c:pt idx="277">
                  <c:v>3.6910319100251008</c:v>
                </c:pt>
                <c:pt idx="278">
                  <c:v>3.3990386125779821</c:v>
                </c:pt>
                <c:pt idx="279">
                  <c:v>3.2536887465388777</c:v>
                </c:pt>
                <c:pt idx="280">
                  <c:v>3.1448512096416859</c:v>
                </c:pt>
                <c:pt idx="281">
                  <c:v>3.2399646978623942</c:v>
                </c:pt>
                <c:pt idx="282">
                  <c:v>3.240240805444297</c:v>
                </c:pt>
                <c:pt idx="283">
                  <c:v>3.2145101662469728</c:v>
                </c:pt>
                <c:pt idx="284">
                  <c:v>3.1978063461931252</c:v>
                </c:pt>
                <c:pt idx="285">
                  <c:v>3.1489812651218925</c:v>
                </c:pt>
                <c:pt idx="286">
                  <c:v>3.1241606704776212</c:v>
                </c:pt>
                <c:pt idx="287">
                  <c:v>2.889332262231727</c:v>
                </c:pt>
                <c:pt idx="288">
                  <c:v>3.0646434266962199</c:v>
                </c:pt>
                <c:pt idx="289">
                  <c:v>3.0174092759078075</c:v>
                </c:pt>
                <c:pt idx="290">
                  <c:v>2.9819632403605381</c:v>
                </c:pt>
                <c:pt idx="291">
                  <c:v>2.8996728348322502</c:v>
                </c:pt>
                <c:pt idx="292">
                  <c:v>2.8062568006410524</c:v>
                </c:pt>
                <c:pt idx="293">
                  <c:v>2.7027150364296411</c:v>
                </c:pt>
                <c:pt idx="294">
                  <c:v>2.6420677400782222</c:v>
                </c:pt>
                <c:pt idx="295">
                  <c:v>2.5938789293389011</c:v>
                </c:pt>
                <c:pt idx="296">
                  <c:v>2.510887821813002</c:v>
                </c:pt>
                <c:pt idx="297">
                  <c:v>2.4194296778416113</c:v>
                </c:pt>
                <c:pt idx="298">
                  <c:v>2.3233249387867332</c:v>
                </c:pt>
                <c:pt idx="299">
                  <c:v>2.0623103655347421</c:v>
                </c:pt>
                <c:pt idx="300">
                  <c:v>2.004342345056104</c:v>
                </c:pt>
                <c:pt idx="301">
                  <c:v>1.915898502735387</c:v>
                </c:pt>
                <c:pt idx="302">
                  <c:v>2.681372307487432</c:v>
                </c:pt>
                <c:pt idx="303">
                  <c:v>2.444321092564492</c:v>
                </c:pt>
                <c:pt idx="304">
                  <c:v>2.3527804393549894</c:v>
                </c:pt>
                <c:pt idx="305">
                  <c:v>3.8702173189611515</c:v>
                </c:pt>
                <c:pt idx="306">
                  <c:v>3.3889944873997706</c:v>
                </c:pt>
                <c:pt idx="307">
                  <c:v>4.9247308704039279</c:v>
                </c:pt>
                <c:pt idx="308">
                  <c:v>4.6913353731717287</c:v>
                </c:pt>
                <c:pt idx="309">
                  <c:v>4.2648392712269061</c:v>
                </c:pt>
                <c:pt idx="310">
                  <c:v>4.2723960981629023</c:v>
                </c:pt>
                <c:pt idx="311">
                  <c:v>4.1152022445889367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E-4040-AB73-6EC8B73EC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458944"/>
        <c:axId val="404368144"/>
      </c:lineChart>
      <c:catAx>
        <c:axId val="5784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4368144"/>
        <c:crosses val="autoZero"/>
        <c:auto val="1"/>
        <c:lblAlgn val="ctr"/>
        <c:lblOffset val="100"/>
        <c:noMultiLvlLbl val="0"/>
      </c:catAx>
      <c:valAx>
        <c:axId val="4043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845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Hoja1!$A$8:$B$307</c:f>
              <c:multiLvlStrCache>
                <c:ptCount val="300"/>
                <c:lvl>
                  <c:pt idx="0">
                    <c:v>Ene.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 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 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 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 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 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  <c:pt idx="120">
                    <c:v>Ene.</c:v>
                  </c:pt>
                  <c:pt idx="121">
                    <c:v>Feb.</c:v>
                  </c:pt>
                  <c:pt idx="122">
                    <c:v>Mar.</c:v>
                  </c:pt>
                  <c:pt idx="123">
                    <c:v>Abr.</c:v>
                  </c:pt>
                  <c:pt idx="124">
                    <c:v>May.</c:v>
                  </c:pt>
                  <c:pt idx="125">
                    <c:v>Jun.</c:v>
                  </c:pt>
                  <c:pt idx="126">
                    <c:v>Jul.</c:v>
                  </c:pt>
                  <c:pt idx="127">
                    <c:v>Ago.</c:v>
                  </c:pt>
                  <c:pt idx="128">
                    <c:v>Set.</c:v>
                  </c:pt>
                  <c:pt idx="129">
                    <c:v>Oct.</c:v>
                  </c:pt>
                  <c:pt idx="130">
                    <c:v>Nov.</c:v>
                  </c:pt>
                  <c:pt idx="131">
                    <c:v>Dic.</c:v>
                  </c:pt>
                  <c:pt idx="132">
                    <c:v>Ene. </c:v>
                  </c:pt>
                  <c:pt idx="133">
                    <c:v>Feb.</c:v>
                  </c:pt>
                  <c:pt idx="134">
                    <c:v>Mar.</c:v>
                  </c:pt>
                  <c:pt idx="135">
                    <c:v>Abr.</c:v>
                  </c:pt>
                  <c:pt idx="136">
                    <c:v>May.</c:v>
                  </c:pt>
                  <c:pt idx="137">
                    <c:v>Jun.</c:v>
                  </c:pt>
                  <c:pt idx="138">
                    <c:v>Jul.</c:v>
                  </c:pt>
                  <c:pt idx="139">
                    <c:v>Ago.</c:v>
                  </c:pt>
                  <c:pt idx="140">
                    <c:v>Set.</c:v>
                  </c:pt>
                  <c:pt idx="141">
                    <c:v>Oct.</c:v>
                  </c:pt>
                  <c:pt idx="142">
                    <c:v>Nov.</c:v>
                  </c:pt>
                  <c:pt idx="143">
                    <c:v>Dic.</c:v>
                  </c:pt>
                  <c:pt idx="144">
                    <c:v>Ene. </c:v>
                  </c:pt>
                  <c:pt idx="145">
                    <c:v>Feb.</c:v>
                  </c:pt>
                  <c:pt idx="146">
                    <c:v>Mar.</c:v>
                  </c:pt>
                  <c:pt idx="147">
                    <c:v>Abr.</c:v>
                  </c:pt>
                  <c:pt idx="148">
                    <c:v>May.</c:v>
                  </c:pt>
                  <c:pt idx="149">
                    <c:v>Jun.</c:v>
                  </c:pt>
                  <c:pt idx="150">
                    <c:v>Jul.</c:v>
                  </c:pt>
                  <c:pt idx="151">
                    <c:v>Ago.</c:v>
                  </c:pt>
                  <c:pt idx="152">
                    <c:v>Set.</c:v>
                  </c:pt>
                  <c:pt idx="153">
                    <c:v>Oct.</c:v>
                  </c:pt>
                  <c:pt idx="154">
                    <c:v>Nov.</c:v>
                  </c:pt>
                  <c:pt idx="155">
                    <c:v>Dic.</c:v>
                  </c:pt>
                  <c:pt idx="156">
                    <c:v>Ene. </c:v>
                  </c:pt>
                  <c:pt idx="157">
                    <c:v>Feb.</c:v>
                  </c:pt>
                  <c:pt idx="158">
                    <c:v>Mar.</c:v>
                  </c:pt>
                  <c:pt idx="159">
                    <c:v>Abr.</c:v>
                  </c:pt>
                  <c:pt idx="160">
                    <c:v>May.</c:v>
                  </c:pt>
                  <c:pt idx="161">
                    <c:v>Jun.</c:v>
                  </c:pt>
                  <c:pt idx="162">
                    <c:v>Jul.</c:v>
                  </c:pt>
                  <c:pt idx="163">
                    <c:v>Ago.</c:v>
                  </c:pt>
                  <c:pt idx="164">
                    <c:v>Set.</c:v>
                  </c:pt>
                  <c:pt idx="165">
                    <c:v>Oct.</c:v>
                  </c:pt>
                  <c:pt idx="166">
                    <c:v>Nov.</c:v>
                  </c:pt>
                  <c:pt idx="167">
                    <c:v>Dic.</c:v>
                  </c:pt>
                  <c:pt idx="168">
                    <c:v>Ene.</c:v>
                  </c:pt>
                  <c:pt idx="169">
                    <c:v>Feb.</c:v>
                  </c:pt>
                  <c:pt idx="170">
                    <c:v>Mar.</c:v>
                  </c:pt>
                  <c:pt idx="171">
                    <c:v>Abr.</c:v>
                  </c:pt>
                  <c:pt idx="172">
                    <c:v>May.</c:v>
                  </c:pt>
                  <c:pt idx="173">
                    <c:v>Jun.</c:v>
                  </c:pt>
                  <c:pt idx="174">
                    <c:v>Jul.</c:v>
                  </c:pt>
                  <c:pt idx="175">
                    <c:v>Ago.</c:v>
                  </c:pt>
                  <c:pt idx="176">
                    <c:v>Set.</c:v>
                  </c:pt>
                  <c:pt idx="177">
                    <c:v>Oct.</c:v>
                  </c:pt>
                  <c:pt idx="178">
                    <c:v>Nov.</c:v>
                  </c:pt>
                  <c:pt idx="179">
                    <c:v>Dic.</c:v>
                  </c:pt>
                  <c:pt idx="180">
                    <c:v>Ene.</c:v>
                  </c:pt>
                  <c:pt idx="181">
                    <c:v>Feb.</c:v>
                  </c:pt>
                  <c:pt idx="182">
                    <c:v>Mar.</c:v>
                  </c:pt>
                  <c:pt idx="183">
                    <c:v>Abr.</c:v>
                  </c:pt>
                  <c:pt idx="184">
                    <c:v>May.</c:v>
                  </c:pt>
                  <c:pt idx="185">
                    <c:v>Jun.</c:v>
                  </c:pt>
                  <c:pt idx="186">
                    <c:v>Jul.</c:v>
                  </c:pt>
                  <c:pt idx="187">
                    <c:v>Ago.</c:v>
                  </c:pt>
                  <c:pt idx="188">
                    <c:v>Set.</c:v>
                  </c:pt>
                  <c:pt idx="189">
                    <c:v>Oct.</c:v>
                  </c:pt>
                  <c:pt idx="190">
                    <c:v>Nov.</c:v>
                  </c:pt>
                  <c:pt idx="191">
                    <c:v>Dic.</c:v>
                  </c:pt>
                  <c:pt idx="192">
                    <c:v>Ene.</c:v>
                  </c:pt>
                  <c:pt idx="193">
                    <c:v>Feb.</c:v>
                  </c:pt>
                  <c:pt idx="194">
                    <c:v>Mar.</c:v>
                  </c:pt>
                  <c:pt idx="195">
                    <c:v>Abr.</c:v>
                  </c:pt>
                  <c:pt idx="196">
                    <c:v>May.</c:v>
                  </c:pt>
                  <c:pt idx="197">
                    <c:v>Jun.</c:v>
                  </c:pt>
                  <c:pt idx="198">
                    <c:v>Jul.</c:v>
                  </c:pt>
                  <c:pt idx="199">
                    <c:v>Ago.</c:v>
                  </c:pt>
                  <c:pt idx="200">
                    <c:v>Set.</c:v>
                  </c:pt>
                  <c:pt idx="201">
                    <c:v>Oct.</c:v>
                  </c:pt>
                  <c:pt idx="202">
                    <c:v>Nov.</c:v>
                  </c:pt>
                  <c:pt idx="203">
                    <c:v>Dic.</c:v>
                  </c:pt>
                  <c:pt idx="204">
                    <c:v>Ene. </c:v>
                  </c:pt>
                  <c:pt idx="205">
                    <c:v>Feb.</c:v>
                  </c:pt>
                  <c:pt idx="206">
                    <c:v>Mar.</c:v>
                  </c:pt>
                  <c:pt idx="207">
                    <c:v>Abr.</c:v>
                  </c:pt>
                  <c:pt idx="208">
                    <c:v>May.</c:v>
                  </c:pt>
                  <c:pt idx="209">
                    <c:v>Jun.</c:v>
                  </c:pt>
                  <c:pt idx="210">
                    <c:v>Jul.</c:v>
                  </c:pt>
                  <c:pt idx="211">
                    <c:v>Ago.</c:v>
                  </c:pt>
                  <c:pt idx="212">
                    <c:v>Set.</c:v>
                  </c:pt>
                  <c:pt idx="213">
                    <c:v>Oct.</c:v>
                  </c:pt>
                  <c:pt idx="214">
                    <c:v>Nov.</c:v>
                  </c:pt>
                  <c:pt idx="215">
                    <c:v>Dic.</c:v>
                  </c:pt>
                  <c:pt idx="216">
                    <c:v>Ene. </c:v>
                  </c:pt>
                  <c:pt idx="217">
                    <c:v>Feb.</c:v>
                  </c:pt>
                  <c:pt idx="218">
                    <c:v>Mar.</c:v>
                  </c:pt>
                  <c:pt idx="219">
                    <c:v>Abr.</c:v>
                  </c:pt>
                  <c:pt idx="220">
                    <c:v>May.</c:v>
                  </c:pt>
                  <c:pt idx="221">
                    <c:v>Jun.</c:v>
                  </c:pt>
                  <c:pt idx="222">
                    <c:v>Jul.</c:v>
                  </c:pt>
                  <c:pt idx="223">
                    <c:v>Ago.</c:v>
                  </c:pt>
                  <c:pt idx="224">
                    <c:v>Set.</c:v>
                  </c:pt>
                  <c:pt idx="225">
                    <c:v>Oct.</c:v>
                  </c:pt>
                  <c:pt idx="226">
                    <c:v>Nov.</c:v>
                  </c:pt>
                  <c:pt idx="227">
                    <c:v>Dic.</c:v>
                  </c:pt>
                  <c:pt idx="228">
                    <c:v>Ene.</c:v>
                  </c:pt>
                  <c:pt idx="229">
                    <c:v>Feb.</c:v>
                  </c:pt>
                  <c:pt idx="230">
                    <c:v>Mar.</c:v>
                  </c:pt>
                  <c:pt idx="231">
                    <c:v>Abr.</c:v>
                  </c:pt>
                  <c:pt idx="232">
                    <c:v>May.</c:v>
                  </c:pt>
                  <c:pt idx="233">
                    <c:v>Jun.</c:v>
                  </c:pt>
                  <c:pt idx="234">
                    <c:v>Jul.</c:v>
                  </c:pt>
                  <c:pt idx="235">
                    <c:v>Ago.</c:v>
                  </c:pt>
                  <c:pt idx="236">
                    <c:v>Set.</c:v>
                  </c:pt>
                  <c:pt idx="237">
                    <c:v>Oct.</c:v>
                  </c:pt>
                  <c:pt idx="238">
                    <c:v>Nov.</c:v>
                  </c:pt>
                  <c:pt idx="239">
                    <c:v>Dic.</c:v>
                  </c:pt>
                  <c:pt idx="240">
                    <c:v>Ene.</c:v>
                  </c:pt>
                  <c:pt idx="241">
                    <c:v>Feb.</c:v>
                  </c:pt>
                  <c:pt idx="242">
                    <c:v>Mar.</c:v>
                  </c:pt>
                  <c:pt idx="243">
                    <c:v>Abr.</c:v>
                  </c:pt>
                  <c:pt idx="244">
                    <c:v>May.</c:v>
                  </c:pt>
                  <c:pt idx="245">
                    <c:v>Jun.</c:v>
                  </c:pt>
                  <c:pt idx="246">
                    <c:v>Jul.</c:v>
                  </c:pt>
                  <c:pt idx="247">
                    <c:v>Ago.</c:v>
                  </c:pt>
                  <c:pt idx="248">
                    <c:v>Set.</c:v>
                  </c:pt>
                  <c:pt idx="249">
                    <c:v>Oct.</c:v>
                  </c:pt>
                  <c:pt idx="250">
                    <c:v>Nov.</c:v>
                  </c:pt>
                  <c:pt idx="251">
                    <c:v>Dic.</c:v>
                  </c:pt>
                  <c:pt idx="252">
                    <c:v>Ene. </c:v>
                  </c:pt>
                  <c:pt idx="253">
                    <c:v>Feb.</c:v>
                  </c:pt>
                  <c:pt idx="254">
                    <c:v>Mar.</c:v>
                  </c:pt>
                  <c:pt idx="255">
                    <c:v>Abr.</c:v>
                  </c:pt>
                  <c:pt idx="256">
                    <c:v>May.</c:v>
                  </c:pt>
                  <c:pt idx="257">
                    <c:v>Jun.</c:v>
                  </c:pt>
                  <c:pt idx="258">
                    <c:v>Jul.</c:v>
                  </c:pt>
                  <c:pt idx="259">
                    <c:v>Ago.</c:v>
                  </c:pt>
                  <c:pt idx="260">
                    <c:v>Set.</c:v>
                  </c:pt>
                  <c:pt idx="261">
                    <c:v>Oct.</c:v>
                  </c:pt>
                  <c:pt idx="262">
                    <c:v>Nov.</c:v>
                  </c:pt>
                  <c:pt idx="263">
                    <c:v>Dic.</c:v>
                  </c:pt>
                  <c:pt idx="264">
                    <c:v>Ene. </c:v>
                  </c:pt>
                  <c:pt idx="265">
                    <c:v>Feb.</c:v>
                  </c:pt>
                  <c:pt idx="266">
                    <c:v>Mar.</c:v>
                  </c:pt>
                  <c:pt idx="267">
                    <c:v>Abr.</c:v>
                  </c:pt>
                  <c:pt idx="268">
                    <c:v>May.</c:v>
                  </c:pt>
                  <c:pt idx="269">
                    <c:v>Jun.</c:v>
                  </c:pt>
                  <c:pt idx="270">
                    <c:v>Jul.</c:v>
                  </c:pt>
                  <c:pt idx="271">
                    <c:v>Ago.</c:v>
                  </c:pt>
                  <c:pt idx="272">
                    <c:v>Set.</c:v>
                  </c:pt>
                  <c:pt idx="273">
                    <c:v>Oct.</c:v>
                  </c:pt>
                  <c:pt idx="274">
                    <c:v>Nov.</c:v>
                  </c:pt>
                  <c:pt idx="275">
                    <c:v>Dic.</c:v>
                  </c:pt>
                  <c:pt idx="276">
                    <c:v>Ene. </c:v>
                  </c:pt>
                  <c:pt idx="277">
                    <c:v>Feb.</c:v>
                  </c:pt>
                  <c:pt idx="278">
                    <c:v>Mar.</c:v>
                  </c:pt>
                  <c:pt idx="279">
                    <c:v>Abr.</c:v>
                  </c:pt>
                  <c:pt idx="280">
                    <c:v>May.</c:v>
                  </c:pt>
                  <c:pt idx="281">
                    <c:v>Jun.</c:v>
                  </c:pt>
                  <c:pt idx="282">
                    <c:v>Jul.</c:v>
                  </c:pt>
                  <c:pt idx="283">
                    <c:v>Ago.</c:v>
                  </c:pt>
                  <c:pt idx="284">
                    <c:v>Set.</c:v>
                  </c:pt>
                  <c:pt idx="285">
                    <c:v>Oct.</c:v>
                  </c:pt>
                  <c:pt idx="286">
                    <c:v>Nov.</c:v>
                  </c:pt>
                  <c:pt idx="287">
                    <c:v>Dic.</c:v>
                  </c:pt>
                  <c:pt idx="288">
                    <c:v>Ene.</c:v>
                  </c:pt>
                  <c:pt idx="289">
                    <c:v>Feb.</c:v>
                  </c:pt>
                  <c:pt idx="290">
                    <c:v>Mar.</c:v>
                  </c:pt>
                  <c:pt idx="291">
                    <c:v>Abr.</c:v>
                  </c:pt>
                  <c:pt idx="292">
                    <c:v>May.</c:v>
                  </c:pt>
                  <c:pt idx="293">
                    <c:v>Jun.</c:v>
                  </c:pt>
                  <c:pt idx="294">
                    <c:v>Jul.</c:v>
                  </c:pt>
                  <c:pt idx="295">
                    <c:v>Ago.</c:v>
                  </c:pt>
                  <c:pt idx="296">
                    <c:v>Set.</c:v>
                  </c:pt>
                  <c:pt idx="297">
                    <c:v>Oct.</c:v>
                  </c:pt>
                  <c:pt idx="298">
                    <c:v>Nov.</c:v>
                  </c:pt>
                  <c:pt idx="299">
                    <c:v>Dic.</c:v>
                  </c:pt>
                </c:lvl>
                <c:lvl>
                  <c:pt idx="0">
                    <c:v>1950 </c:v>
                  </c:pt>
                  <c:pt idx="12">
                    <c:v>1951 </c:v>
                  </c:pt>
                  <c:pt idx="24">
                    <c:v>1952 </c:v>
                  </c:pt>
                  <c:pt idx="36">
                    <c:v>1953 </c:v>
                  </c:pt>
                  <c:pt idx="48">
                    <c:v>1954 </c:v>
                  </c:pt>
                  <c:pt idx="60">
                    <c:v>1955 </c:v>
                  </c:pt>
                  <c:pt idx="72">
                    <c:v>1956 </c:v>
                  </c:pt>
                  <c:pt idx="84">
                    <c:v>1957 </c:v>
                  </c:pt>
                  <c:pt idx="96">
                    <c:v>1958 </c:v>
                  </c:pt>
                  <c:pt idx="108">
                    <c:v>1959 </c:v>
                  </c:pt>
                  <c:pt idx="120">
                    <c:v>1960 </c:v>
                  </c:pt>
                  <c:pt idx="132">
                    <c:v>1961 </c:v>
                  </c:pt>
                  <c:pt idx="144">
                    <c:v>1962 </c:v>
                  </c:pt>
                  <c:pt idx="156">
                    <c:v>1963 </c:v>
                  </c:pt>
                  <c:pt idx="168">
                    <c:v>1964 </c:v>
                  </c:pt>
                  <c:pt idx="180">
                    <c:v>1965 </c:v>
                  </c:pt>
                  <c:pt idx="192">
                    <c:v>1966 </c:v>
                  </c:pt>
                  <c:pt idx="204">
                    <c:v>1967 </c:v>
                  </c:pt>
                  <c:pt idx="216">
                    <c:v>1968 </c:v>
                  </c:pt>
                  <c:pt idx="228">
                    <c:v>1969 </c:v>
                  </c:pt>
                  <c:pt idx="240">
                    <c:v>1970 </c:v>
                  </c:pt>
                  <c:pt idx="252">
                    <c:v>1971 </c:v>
                  </c:pt>
                  <c:pt idx="264">
                    <c:v>1972 </c:v>
                  </c:pt>
                  <c:pt idx="276">
                    <c:v>1973 </c:v>
                  </c:pt>
                  <c:pt idx="288">
                    <c:v>1974 </c:v>
                  </c:pt>
                </c:lvl>
              </c:multiLvlStrCache>
            </c:multiLvlStrRef>
          </c:cat>
          <c:val>
            <c:numRef>
              <c:f>Hoja1!$O$8:$O$307</c:f>
              <c:numCache>
                <c:formatCode>0.0</c:formatCode>
                <c:ptCount val="300"/>
                <c:pt idx="0">
                  <c:v>30.6</c:v>
                </c:pt>
                <c:pt idx="1">
                  <c:v>34.299999999999997</c:v>
                </c:pt>
                <c:pt idx="2">
                  <c:v>25.8</c:v>
                </c:pt>
                <c:pt idx="3">
                  <c:v>22.6</c:v>
                </c:pt>
                <c:pt idx="4">
                  <c:v>24.8</c:v>
                </c:pt>
                <c:pt idx="5">
                  <c:v>26.8</c:v>
                </c:pt>
                <c:pt idx="6">
                  <c:v>24.6</c:v>
                </c:pt>
                <c:pt idx="7">
                  <c:v>22.7</c:v>
                </c:pt>
                <c:pt idx="8">
                  <c:v>25.6</c:v>
                </c:pt>
                <c:pt idx="9">
                  <c:v>26.9</c:v>
                </c:pt>
                <c:pt idx="10">
                  <c:v>22.7</c:v>
                </c:pt>
                <c:pt idx="11">
                  <c:v>22.1</c:v>
                </c:pt>
                <c:pt idx="12">
                  <c:v>23.1</c:v>
                </c:pt>
                <c:pt idx="13">
                  <c:v>23.5</c:v>
                </c:pt>
                <c:pt idx="14">
                  <c:v>23.8</c:v>
                </c:pt>
                <c:pt idx="15">
                  <c:v>32.200000000000003</c:v>
                </c:pt>
                <c:pt idx="16">
                  <c:v>35.6</c:v>
                </c:pt>
                <c:pt idx="17">
                  <c:v>36.200000000000003</c:v>
                </c:pt>
                <c:pt idx="18">
                  <c:v>37.200000000000003</c:v>
                </c:pt>
                <c:pt idx="19">
                  <c:v>49.6</c:v>
                </c:pt>
                <c:pt idx="20">
                  <c:v>41.2</c:v>
                </c:pt>
                <c:pt idx="21">
                  <c:v>40.1</c:v>
                </c:pt>
                <c:pt idx="22">
                  <c:v>40.9</c:v>
                </c:pt>
                <c:pt idx="23">
                  <c:v>50.2</c:v>
                </c:pt>
                <c:pt idx="24">
                  <c:v>57.6</c:v>
                </c:pt>
                <c:pt idx="25">
                  <c:v>54.2</c:v>
                </c:pt>
                <c:pt idx="26">
                  <c:v>58.3</c:v>
                </c:pt>
                <c:pt idx="27">
                  <c:v>54.2</c:v>
                </c:pt>
                <c:pt idx="28">
                  <c:v>45.8</c:v>
                </c:pt>
                <c:pt idx="29">
                  <c:v>44</c:v>
                </c:pt>
                <c:pt idx="30">
                  <c:v>37.1</c:v>
                </c:pt>
                <c:pt idx="31">
                  <c:v>24.9</c:v>
                </c:pt>
                <c:pt idx="32">
                  <c:v>31.6</c:v>
                </c:pt>
                <c:pt idx="33">
                  <c:v>29</c:v>
                </c:pt>
                <c:pt idx="34">
                  <c:v>28.9</c:v>
                </c:pt>
                <c:pt idx="35">
                  <c:v>19.100000000000001</c:v>
                </c:pt>
                <c:pt idx="36">
                  <c:v>13.1</c:v>
                </c:pt>
                <c:pt idx="37">
                  <c:v>18.8</c:v>
                </c:pt>
                <c:pt idx="38">
                  <c:v>14.9</c:v>
                </c:pt>
                <c:pt idx="39">
                  <c:v>3.6</c:v>
                </c:pt>
                <c:pt idx="40">
                  <c:v>0.3</c:v>
                </c:pt>
                <c:pt idx="41">
                  <c:v>-1.9</c:v>
                </c:pt>
                <c:pt idx="42">
                  <c:v>3.1</c:v>
                </c:pt>
                <c:pt idx="43">
                  <c:v>3.6</c:v>
                </c:pt>
                <c:pt idx="44">
                  <c:v>-0.4</c:v>
                </c:pt>
                <c:pt idx="45">
                  <c:v>-1.8</c:v>
                </c:pt>
                <c:pt idx="46">
                  <c:v>-1.4</c:v>
                </c:pt>
                <c:pt idx="47">
                  <c:v>-0.7</c:v>
                </c:pt>
                <c:pt idx="48">
                  <c:v>-1.4</c:v>
                </c:pt>
                <c:pt idx="49">
                  <c:v>-7</c:v>
                </c:pt>
                <c:pt idx="50">
                  <c:v>-6.4</c:v>
                </c:pt>
                <c:pt idx="51">
                  <c:v>-0.3</c:v>
                </c:pt>
                <c:pt idx="52">
                  <c:v>1.1000000000000001</c:v>
                </c:pt>
                <c:pt idx="53">
                  <c:v>2.9</c:v>
                </c:pt>
                <c:pt idx="54">
                  <c:v>4.4000000000000004</c:v>
                </c:pt>
                <c:pt idx="55">
                  <c:v>5</c:v>
                </c:pt>
                <c:pt idx="56">
                  <c:v>8.3000000000000007</c:v>
                </c:pt>
                <c:pt idx="57">
                  <c:v>11.9</c:v>
                </c:pt>
                <c:pt idx="58">
                  <c:v>12.3</c:v>
                </c:pt>
                <c:pt idx="59">
                  <c:v>16</c:v>
                </c:pt>
                <c:pt idx="60">
                  <c:v>15.8</c:v>
                </c:pt>
                <c:pt idx="61">
                  <c:v>16.2</c:v>
                </c:pt>
                <c:pt idx="62">
                  <c:v>16.2</c:v>
                </c:pt>
                <c:pt idx="63">
                  <c:v>15.4</c:v>
                </c:pt>
                <c:pt idx="64">
                  <c:v>15.8</c:v>
                </c:pt>
                <c:pt idx="65">
                  <c:v>14.7</c:v>
                </c:pt>
                <c:pt idx="66">
                  <c:v>12.7</c:v>
                </c:pt>
                <c:pt idx="67">
                  <c:v>12.3</c:v>
                </c:pt>
                <c:pt idx="68">
                  <c:v>10.4</c:v>
                </c:pt>
                <c:pt idx="69">
                  <c:v>7.2</c:v>
                </c:pt>
                <c:pt idx="70">
                  <c:v>6.1</c:v>
                </c:pt>
                <c:pt idx="71">
                  <c:v>7.5</c:v>
                </c:pt>
                <c:pt idx="72">
                  <c:v>8.4</c:v>
                </c:pt>
                <c:pt idx="73">
                  <c:v>7.5</c:v>
                </c:pt>
                <c:pt idx="74">
                  <c:v>7.2</c:v>
                </c:pt>
                <c:pt idx="75">
                  <c:v>9.4</c:v>
                </c:pt>
                <c:pt idx="76">
                  <c:v>13.4</c:v>
                </c:pt>
                <c:pt idx="77">
                  <c:v>17.100000000000001</c:v>
                </c:pt>
                <c:pt idx="78">
                  <c:v>16</c:v>
                </c:pt>
                <c:pt idx="79">
                  <c:v>15</c:v>
                </c:pt>
                <c:pt idx="80">
                  <c:v>14.9</c:v>
                </c:pt>
                <c:pt idx="81">
                  <c:v>16.5</c:v>
                </c:pt>
                <c:pt idx="82">
                  <c:v>18.2</c:v>
                </c:pt>
                <c:pt idx="83">
                  <c:v>16.7</c:v>
                </c:pt>
                <c:pt idx="84">
                  <c:v>16.899999999999999</c:v>
                </c:pt>
                <c:pt idx="85">
                  <c:v>18.7</c:v>
                </c:pt>
                <c:pt idx="86">
                  <c:v>23.2</c:v>
                </c:pt>
                <c:pt idx="87">
                  <c:v>22.2</c:v>
                </c:pt>
                <c:pt idx="88">
                  <c:v>21</c:v>
                </c:pt>
                <c:pt idx="89">
                  <c:v>21</c:v>
                </c:pt>
                <c:pt idx="90">
                  <c:v>23.8</c:v>
                </c:pt>
                <c:pt idx="91">
                  <c:v>31.1</c:v>
                </c:pt>
                <c:pt idx="92">
                  <c:v>30.1</c:v>
                </c:pt>
                <c:pt idx="93">
                  <c:v>29.8</c:v>
                </c:pt>
                <c:pt idx="94">
                  <c:v>31</c:v>
                </c:pt>
                <c:pt idx="95">
                  <c:v>25.6</c:v>
                </c:pt>
                <c:pt idx="96">
                  <c:v>23.7</c:v>
                </c:pt>
                <c:pt idx="97">
                  <c:v>24.4</c:v>
                </c:pt>
                <c:pt idx="98">
                  <c:v>22</c:v>
                </c:pt>
                <c:pt idx="99">
                  <c:v>24</c:v>
                </c:pt>
                <c:pt idx="100">
                  <c:v>28.4</c:v>
                </c:pt>
                <c:pt idx="101">
                  <c:v>29.1</c:v>
                </c:pt>
                <c:pt idx="102">
                  <c:v>31.4</c:v>
                </c:pt>
                <c:pt idx="103">
                  <c:v>30.5</c:v>
                </c:pt>
                <c:pt idx="104">
                  <c:v>33.299999999999997</c:v>
                </c:pt>
                <c:pt idx="105">
                  <c:v>35.799999999999997</c:v>
                </c:pt>
                <c:pt idx="106">
                  <c:v>39.200000000000003</c:v>
                </c:pt>
                <c:pt idx="107">
                  <c:v>50.7</c:v>
                </c:pt>
                <c:pt idx="108">
                  <c:v>82.3</c:v>
                </c:pt>
                <c:pt idx="109">
                  <c:v>96.2</c:v>
                </c:pt>
                <c:pt idx="110">
                  <c:v>107.2</c:v>
                </c:pt>
                <c:pt idx="111">
                  <c:v>115</c:v>
                </c:pt>
                <c:pt idx="112">
                  <c:v>123</c:v>
                </c:pt>
                <c:pt idx="113">
                  <c:v>127.1</c:v>
                </c:pt>
                <c:pt idx="114">
                  <c:v>125.9</c:v>
                </c:pt>
                <c:pt idx="115">
                  <c:v>124</c:v>
                </c:pt>
                <c:pt idx="116">
                  <c:v>123.7</c:v>
                </c:pt>
                <c:pt idx="117">
                  <c:v>118.6</c:v>
                </c:pt>
                <c:pt idx="118">
                  <c:v>112.4</c:v>
                </c:pt>
                <c:pt idx="119">
                  <c:v>101.6</c:v>
                </c:pt>
                <c:pt idx="120">
                  <c:v>75.900000000000006</c:v>
                </c:pt>
                <c:pt idx="121">
                  <c:v>62.6</c:v>
                </c:pt>
                <c:pt idx="122">
                  <c:v>52.6</c:v>
                </c:pt>
                <c:pt idx="123">
                  <c:v>40.799999999999997</c:v>
                </c:pt>
                <c:pt idx="124">
                  <c:v>27.2</c:v>
                </c:pt>
                <c:pt idx="125">
                  <c:v>19</c:v>
                </c:pt>
                <c:pt idx="126">
                  <c:v>16.600000000000001</c:v>
                </c:pt>
                <c:pt idx="127">
                  <c:v>12.9</c:v>
                </c:pt>
                <c:pt idx="128">
                  <c:v>11</c:v>
                </c:pt>
                <c:pt idx="129">
                  <c:v>11.2</c:v>
                </c:pt>
                <c:pt idx="130">
                  <c:v>11.7</c:v>
                </c:pt>
                <c:pt idx="131">
                  <c:v>18.5</c:v>
                </c:pt>
                <c:pt idx="132">
                  <c:v>8.3000000000000007</c:v>
                </c:pt>
                <c:pt idx="133">
                  <c:v>8.8000000000000007</c:v>
                </c:pt>
                <c:pt idx="134">
                  <c:v>9.1999999999999993</c:v>
                </c:pt>
                <c:pt idx="135">
                  <c:v>11.8</c:v>
                </c:pt>
                <c:pt idx="136">
                  <c:v>12.8</c:v>
                </c:pt>
                <c:pt idx="137">
                  <c:v>14.9</c:v>
                </c:pt>
                <c:pt idx="138">
                  <c:v>15.6</c:v>
                </c:pt>
                <c:pt idx="139">
                  <c:v>15.9</c:v>
                </c:pt>
                <c:pt idx="140">
                  <c:v>17</c:v>
                </c:pt>
                <c:pt idx="141">
                  <c:v>16.2</c:v>
                </c:pt>
                <c:pt idx="142">
                  <c:v>17</c:v>
                </c:pt>
                <c:pt idx="143">
                  <c:v>16.399999999999999</c:v>
                </c:pt>
                <c:pt idx="144">
                  <c:v>19</c:v>
                </c:pt>
                <c:pt idx="145">
                  <c:v>19.2</c:v>
                </c:pt>
                <c:pt idx="146">
                  <c:v>19.8</c:v>
                </c:pt>
                <c:pt idx="147">
                  <c:v>21</c:v>
                </c:pt>
                <c:pt idx="148">
                  <c:v>24.3</c:v>
                </c:pt>
                <c:pt idx="149">
                  <c:v>24.4</c:v>
                </c:pt>
                <c:pt idx="150">
                  <c:v>28</c:v>
                </c:pt>
                <c:pt idx="151">
                  <c:v>28.7</c:v>
                </c:pt>
                <c:pt idx="152">
                  <c:v>32.1</c:v>
                </c:pt>
                <c:pt idx="153">
                  <c:v>34.200000000000003</c:v>
                </c:pt>
                <c:pt idx="154">
                  <c:v>29.4</c:v>
                </c:pt>
                <c:pt idx="155">
                  <c:v>30.7</c:v>
                </c:pt>
                <c:pt idx="156">
                  <c:v>30.5</c:v>
                </c:pt>
                <c:pt idx="157">
                  <c:v>29.8</c:v>
                </c:pt>
                <c:pt idx="158">
                  <c:v>33.9</c:v>
                </c:pt>
                <c:pt idx="159">
                  <c:v>31.7</c:v>
                </c:pt>
                <c:pt idx="160">
                  <c:v>27.3</c:v>
                </c:pt>
                <c:pt idx="161">
                  <c:v>26.9</c:v>
                </c:pt>
                <c:pt idx="162">
                  <c:v>23.3</c:v>
                </c:pt>
                <c:pt idx="163">
                  <c:v>22.2</c:v>
                </c:pt>
                <c:pt idx="164">
                  <c:v>19.7</c:v>
                </c:pt>
                <c:pt idx="165">
                  <c:v>21.3</c:v>
                </c:pt>
                <c:pt idx="166">
                  <c:v>25</c:v>
                </c:pt>
                <c:pt idx="167">
                  <c:v>23.8</c:v>
                </c:pt>
                <c:pt idx="168">
                  <c:v>28.5</c:v>
                </c:pt>
                <c:pt idx="169">
                  <c:v>26.4</c:v>
                </c:pt>
                <c:pt idx="170">
                  <c:v>20.3</c:v>
                </c:pt>
                <c:pt idx="171">
                  <c:v>23</c:v>
                </c:pt>
                <c:pt idx="172">
                  <c:v>23.2</c:v>
                </c:pt>
                <c:pt idx="173">
                  <c:v>23.5</c:v>
                </c:pt>
                <c:pt idx="174">
                  <c:v>22.1</c:v>
                </c:pt>
                <c:pt idx="175">
                  <c:v>21</c:v>
                </c:pt>
                <c:pt idx="176">
                  <c:v>20.399999999999999</c:v>
                </c:pt>
                <c:pt idx="177">
                  <c:v>21.4</c:v>
                </c:pt>
                <c:pt idx="178">
                  <c:v>19.7</c:v>
                </c:pt>
                <c:pt idx="179">
                  <c:v>18.100000000000001</c:v>
                </c:pt>
                <c:pt idx="180">
                  <c:v>14.3</c:v>
                </c:pt>
                <c:pt idx="181">
                  <c:v>20.7</c:v>
                </c:pt>
                <c:pt idx="182">
                  <c:v>24</c:v>
                </c:pt>
                <c:pt idx="183">
                  <c:v>20.7</c:v>
                </c:pt>
                <c:pt idx="184">
                  <c:v>23.1</c:v>
                </c:pt>
                <c:pt idx="185">
                  <c:v>26.3</c:v>
                </c:pt>
                <c:pt idx="186">
                  <c:v>31.3</c:v>
                </c:pt>
                <c:pt idx="187">
                  <c:v>34.9</c:v>
                </c:pt>
                <c:pt idx="188">
                  <c:v>35.4</c:v>
                </c:pt>
                <c:pt idx="189">
                  <c:v>33.700000000000003</c:v>
                </c:pt>
                <c:pt idx="190">
                  <c:v>36.9</c:v>
                </c:pt>
                <c:pt idx="191">
                  <c:v>38.200000000000003</c:v>
                </c:pt>
                <c:pt idx="192">
                  <c:v>40.299999999999997</c:v>
                </c:pt>
                <c:pt idx="193">
                  <c:v>36.700000000000003</c:v>
                </c:pt>
                <c:pt idx="194">
                  <c:v>36.4</c:v>
                </c:pt>
                <c:pt idx="195">
                  <c:v>37.799999999999997</c:v>
                </c:pt>
                <c:pt idx="196">
                  <c:v>36.299999999999997</c:v>
                </c:pt>
                <c:pt idx="197">
                  <c:v>32.1</c:v>
                </c:pt>
                <c:pt idx="198">
                  <c:v>28.6</c:v>
                </c:pt>
                <c:pt idx="199">
                  <c:v>27.3</c:v>
                </c:pt>
                <c:pt idx="200">
                  <c:v>27.3</c:v>
                </c:pt>
                <c:pt idx="201">
                  <c:v>28.1</c:v>
                </c:pt>
                <c:pt idx="202">
                  <c:v>26.5</c:v>
                </c:pt>
                <c:pt idx="203">
                  <c:v>29.9</c:v>
                </c:pt>
                <c:pt idx="204">
                  <c:v>26.7</c:v>
                </c:pt>
                <c:pt idx="205">
                  <c:v>26.6</c:v>
                </c:pt>
                <c:pt idx="206">
                  <c:v>26.7</c:v>
                </c:pt>
                <c:pt idx="207">
                  <c:v>25.6</c:v>
                </c:pt>
                <c:pt idx="208">
                  <c:v>25.5</c:v>
                </c:pt>
                <c:pt idx="209">
                  <c:v>29.8</c:v>
                </c:pt>
                <c:pt idx="210">
                  <c:v>34.200000000000003</c:v>
                </c:pt>
                <c:pt idx="211">
                  <c:v>33.1</c:v>
                </c:pt>
                <c:pt idx="212">
                  <c:v>31.7</c:v>
                </c:pt>
                <c:pt idx="213">
                  <c:v>31.3</c:v>
                </c:pt>
                <c:pt idx="214">
                  <c:v>31.3</c:v>
                </c:pt>
                <c:pt idx="215">
                  <c:v>27.4</c:v>
                </c:pt>
                <c:pt idx="216">
                  <c:v>29</c:v>
                </c:pt>
                <c:pt idx="217">
                  <c:v>27.6</c:v>
                </c:pt>
                <c:pt idx="218">
                  <c:v>24</c:v>
                </c:pt>
                <c:pt idx="219">
                  <c:v>22</c:v>
                </c:pt>
                <c:pt idx="220">
                  <c:v>21</c:v>
                </c:pt>
                <c:pt idx="221">
                  <c:v>16.3</c:v>
                </c:pt>
                <c:pt idx="222">
                  <c:v>10.8</c:v>
                </c:pt>
                <c:pt idx="223">
                  <c:v>10.6</c:v>
                </c:pt>
                <c:pt idx="224">
                  <c:v>11.6</c:v>
                </c:pt>
                <c:pt idx="225">
                  <c:v>10.6</c:v>
                </c:pt>
                <c:pt idx="226">
                  <c:v>8.5</c:v>
                </c:pt>
                <c:pt idx="227">
                  <c:v>9.6</c:v>
                </c:pt>
                <c:pt idx="228">
                  <c:v>8.1999999999999993</c:v>
                </c:pt>
                <c:pt idx="229">
                  <c:v>5.7</c:v>
                </c:pt>
                <c:pt idx="230">
                  <c:v>7.6</c:v>
                </c:pt>
                <c:pt idx="231">
                  <c:v>8.1999999999999993</c:v>
                </c:pt>
                <c:pt idx="232">
                  <c:v>6.6</c:v>
                </c:pt>
                <c:pt idx="233">
                  <c:v>7.3</c:v>
                </c:pt>
                <c:pt idx="234">
                  <c:v>8.6999999999999993</c:v>
                </c:pt>
                <c:pt idx="235">
                  <c:v>7.8</c:v>
                </c:pt>
                <c:pt idx="236">
                  <c:v>8.3000000000000007</c:v>
                </c:pt>
                <c:pt idx="237">
                  <c:v>7.8</c:v>
                </c:pt>
                <c:pt idx="238">
                  <c:v>8.1999999999999993</c:v>
                </c:pt>
                <c:pt idx="239">
                  <c:v>6.7</c:v>
                </c:pt>
                <c:pt idx="240">
                  <c:v>6.5</c:v>
                </c:pt>
                <c:pt idx="241">
                  <c:v>9.5</c:v>
                </c:pt>
                <c:pt idx="242">
                  <c:v>9.6</c:v>
                </c:pt>
                <c:pt idx="243">
                  <c:v>10.4</c:v>
                </c:pt>
                <c:pt idx="244">
                  <c:v>12.7</c:v>
                </c:pt>
                <c:pt idx="245">
                  <c:v>12.5</c:v>
                </c:pt>
                <c:pt idx="246">
                  <c:v>12.3</c:v>
                </c:pt>
                <c:pt idx="247">
                  <c:v>14.5</c:v>
                </c:pt>
                <c:pt idx="248">
                  <c:v>14.7</c:v>
                </c:pt>
                <c:pt idx="249">
                  <c:v>17.399999999999999</c:v>
                </c:pt>
                <c:pt idx="250">
                  <c:v>19.600000000000001</c:v>
                </c:pt>
                <c:pt idx="251">
                  <c:v>21.7</c:v>
                </c:pt>
                <c:pt idx="252">
                  <c:v>27.4</c:v>
                </c:pt>
                <c:pt idx="253">
                  <c:v>29.9</c:v>
                </c:pt>
                <c:pt idx="254">
                  <c:v>29.6</c:v>
                </c:pt>
                <c:pt idx="255">
                  <c:v>29.8</c:v>
                </c:pt>
                <c:pt idx="256">
                  <c:v>31.9</c:v>
                </c:pt>
                <c:pt idx="257">
                  <c:v>35.1</c:v>
                </c:pt>
                <c:pt idx="258">
                  <c:v>39.200000000000003</c:v>
                </c:pt>
                <c:pt idx="259">
                  <c:v>41.2</c:v>
                </c:pt>
                <c:pt idx="260">
                  <c:v>39.6</c:v>
                </c:pt>
                <c:pt idx="261">
                  <c:v>35.700000000000003</c:v>
                </c:pt>
                <c:pt idx="262">
                  <c:v>35.9</c:v>
                </c:pt>
                <c:pt idx="263">
                  <c:v>39.1</c:v>
                </c:pt>
                <c:pt idx="264">
                  <c:v>46.8</c:v>
                </c:pt>
                <c:pt idx="265">
                  <c:v>47.2</c:v>
                </c:pt>
                <c:pt idx="266">
                  <c:v>51.8</c:v>
                </c:pt>
                <c:pt idx="267">
                  <c:v>57.8</c:v>
                </c:pt>
                <c:pt idx="268">
                  <c:v>56.5</c:v>
                </c:pt>
                <c:pt idx="269">
                  <c:v>60.1</c:v>
                </c:pt>
                <c:pt idx="270">
                  <c:v>61.2</c:v>
                </c:pt>
                <c:pt idx="271">
                  <c:v>56.8</c:v>
                </c:pt>
                <c:pt idx="272">
                  <c:v>59.2</c:v>
                </c:pt>
                <c:pt idx="273">
                  <c:v>65.2</c:v>
                </c:pt>
                <c:pt idx="274">
                  <c:v>68.7</c:v>
                </c:pt>
                <c:pt idx="275">
                  <c:v>64.099999999999994</c:v>
                </c:pt>
                <c:pt idx="276">
                  <c:v>63.2</c:v>
                </c:pt>
                <c:pt idx="277">
                  <c:v>69.5</c:v>
                </c:pt>
                <c:pt idx="278">
                  <c:v>76.5</c:v>
                </c:pt>
                <c:pt idx="279">
                  <c:v>75.900000000000006</c:v>
                </c:pt>
                <c:pt idx="280">
                  <c:v>79.099999999999994</c:v>
                </c:pt>
                <c:pt idx="281">
                  <c:v>64.8</c:v>
                </c:pt>
                <c:pt idx="282">
                  <c:v>56.9</c:v>
                </c:pt>
                <c:pt idx="283">
                  <c:v>58.4</c:v>
                </c:pt>
                <c:pt idx="284">
                  <c:v>55.4</c:v>
                </c:pt>
                <c:pt idx="285">
                  <c:v>50.5</c:v>
                </c:pt>
                <c:pt idx="286">
                  <c:v>44.7</c:v>
                </c:pt>
                <c:pt idx="287">
                  <c:v>43.8</c:v>
                </c:pt>
                <c:pt idx="288">
                  <c:v>29.6</c:v>
                </c:pt>
                <c:pt idx="289">
                  <c:v>22.3</c:v>
                </c:pt>
                <c:pt idx="290">
                  <c:v>14</c:v>
                </c:pt>
                <c:pt idx="291">
                  <c:v>12.2</c:v>
                </c:pt>
                <c:pt idx="292">
                  <c:v>12.1</c:v>
                </c:pt>
                <c:pt idx="293">
                  <c:v>19.899999999999999</c:v>
                </c:pt>
                <c:pt idx="294">
                  <c:v>22.6</c:v>
                </c:pt>
                <c:pt idx="295">
                  <c:v>23.9</c:v>
                </c:pt>
                <c:pt idx="296">
                  <c:v>27.4</c:v>
                </c:pt>
                <c:pt idx="297">
                  <c:v>30.2</c:v>
                </c:pt>
                <c:pt idx="298">
                  <c:v>34.5</c:v>
                </c:pt>
                <c:pt idx="299">
                  <c:v>40.1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C-4637-A623-B799A715F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458944"/>
        <c:axId val="404368144"/>
      </c:lineChart>
      <c:catAx>
        <c:axId val="5784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4368144"/>
        <c:crosses val="autoZero"/>
        <c:auto val="1"/>
        <c:lblAlgn val="ctr"/>
        <c:lblOffset val="100"/>
        <c:noMultiLvlLbl val="0"/>
      </c:catAx>
      <c:valAx>
        <c:axId val="4043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845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Hoja2!$A$3:$A$26</c:f>
              <c:numCache>
                <c:formatCode>General</c:formatCode>
                <c:ptCount val="24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</c:numCache>
            </c:numRef>
          </c:cat>
          <c:val>
            <c:numRef>
              <c:f>Hoja2!$C$3:$C$26</c:f>
              <c:numCache>
                <c:formatCode>0%</c:formatCode>
                <c:ptCount val="24"/>
                <c:pt idx="0">
                  <c:v>0.21297854295264607</c:v>
                </c:pt>
                <c:pt idx="1">
                  <c:v>0.1372650927663901</c:v>
                </c:pt>
                <c:pt idx="2">
                  <c:v>0.24054353508221094</c:v>
                </c:pt>
                <c:pt idx="3">
                  <c:v>0.16292006784692048</c:v>
                </c:pt>
                <c:pt idx="4">
                  <c:v>0.17623799832722953</c:v>
                </c:pt>
                <c:pt idx="5">
                  <c:v>0.16711843061273934</c:v>
                </c:pt>
                <c:pt idx="6">
                  <c:v>4.6565368314628319E-3</c:v>
                </c:pt>
                <c:pt idx="7">
                  <c:v>0.40833333333333321</c:v>
                </c:pt>
                <c:pt idx="8">
                  <c:v>0.40828402366863936</c:v>
                </c:pt>
                <c:pt idx="9">
                  <c:v>0.20756302521008396</c:v>
                </c:pt>
                <c:pt idx="10">
                  <c:v>-1.6005567153792644E-2</c:v>
                </c:pt>
                <c:pt idx="11">
                  <c:v>4.2079207920792117E-2</c:v>
                </c:pt>
                <c:pt idx="12">
                  <c:v>0.42585680352901267</c:v>
                </c:pt>
                <c:pt idx="13">
                  <c:v>0.40742503569728683</c:v>
                </c:pt>
                <c:pt idx="14">
                  <c:v>0.39228948258369978</c:v>
                </c:pt>
                <c:pt idx="15">
                  <c:v>0.27204274957493335</c:v>
                </c:pt>
                <c:pt idx="16">
                  <c:v>0.41359556998281444</c:v>
                </c:pt>
                <c:pt idx="17">
                  <c:v>0.13008239902742136</c:v>
                </c:pt>
                <c:pt idx="18">
                  <c:v>8.964857757590261E-3</c:v>
                </c:pt>
                <c:pt idx="19">
                  <c:v>0.19713304110887342</c:v>
                </c:pt>
                <c:pt idx="20">
                  <c:v>0.28441365660564055</c:v>
                </c:pt>
                <c:pt idx="21">
                  <c:v>0.4304645966561369</c:v>
                </c:pt>
                <c:pt idx="22">
                  <c:v>1.4307335990520307</c:v>
                </c:pt>
                <c:pt idx="23">
                  <c:v>0.59099470407055321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6-42ED-A81F-9DC594A19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584976"/>
        <c:axId val="573113232"/>
      </c:barChart>
      <c:catAx>
        <c:axId val="46458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3113232"/>
        <c:crosses val="autoZero"/>
        <c:auto val="1"/>
        <c:lblAlgn val="ctr"/>
        <c:lblOffset val="100"/>
        <c:noMultiLvlLbl val="0"/>
      </c:catAx>
      <c:valAx>
        <c:axId val="5731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58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333375</xdr:colOff>
      <xdr:row>294</xdr:row>
      <xdr:rowOff>152400</xdr:rowOff>
    </xdr:from>
    <xdr:to>
      <xdr:col>29</xdr:col>
      <xdr:colOff>504825</xdr:colOff>
      <xdr:row>314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60AA5A-866D-4F39-8BEF-D7BA7288A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</xdr:row>
      <xdr:rowOff>100012</xdr:rowOff>
    </xdr:from>
    <xdr:to>
      <xdr:col>24</xdr:col>
      <xdr:colOff>523875</xdr:colOff>
      <xdr:row>17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A52AFB-E8A6-475F-9041-72BB1CB28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26</xdr:col>
      <xdr:colOff>19050</xdr:colOff>
      <xdr:row>35</xdr:row>
      <xdr:rowOff>128588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B95F78-C065-46D5-BD87-6D777A779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109537</xdr:rowOff>
    </xdr:from>
    <xdr:to>
      <xdr:col>11</xdr:col>
      <xdr:colOff>180975</xdr:colOff>
      <xdr:row>17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80ADCA-D258-4670-9B28-C1804359E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9CB6-FBEC-4BAB-8D92-6CA359BFF959}">
  <sheetPr codeName="Hoja1"/>
  <dimension ref="A1:P319"/>
  <sheetViews>
    <sheetView topLeftCell="M1" workbookViewId="0">
      <selection activeCell="S317" sqref="S317"/>
    </sheetView>
  </sheetViews>
  <sheetFormatPr baseColWidth="10" defaultRowHeight="15" x14ac:dyDescent="0.25"/>
  <cols>
    <col min="5" max="5" width="13.85546875" bestFit="1" customWidth="1"/>
    <col min="8" max="8" width="15.5703125" bestFit="1" customWidth="1"/>
    <col min="9" max="9" width="15.5703125" customWidth="1"/>
    <col min="10" max="10" width="16.140625" bestFit="1" customWidth="1"/>
    <col min="11" max="12" width="16.140625" customWidth="1"/>
  </cols>
  <sheetData>
    <row r="1" spans="1:16" x14ac:dyDescent="0.25">
      <c r="A1" s="8" t="s">
        <v>15</v>
      </c>
      <c r="B1" s="9" t="s">
        <v>16</v>
      </c>
      <c r="C1" s="10"/>
      <c r="D1" s="11" t="s">
        <v>17</v>
      </c>
      <c r="E1" s="12"/>
      <c r="F1" s="13"/>
      <c r="G1" s="14" t="s">
        <v>18</v>
      </c>
    </row>
    <row r="2" spans="1:16" x14ac:dyDescent="0.25">
      <c r="A2" s="15"/>
      <c r="B2" s="16"/>
      <c r="C2" s="17"/>
      <c r="D2" s="18" t="s">
        <v>19</v>
      </c>
      <c r="E2" s="18" t="s">
        <v>20</v>
      </c>
      <c r="F2" s="19" t="s">
        <v>21</v>
      </c>
      <c r="G2" s="14" t="s">
        <v>22</v>
      </c>
    </row>
    <row r="3" spans="1:16" x14ac:dyDescent="0.25">
      <c r="A3" s="15"/>
      <c r="B3" s="16"/>
      <c r="C3" s="17"/>
      <c r="D3" s="18"/>
      <c r="E3" s="18" t="s">
        <v>23</v>
      </c>
      <c r="F3" s="20" t="s">
        <v>24</v>
      </c>
      <c r="G3" s="21" t="s">
        <v>25</v>
      </c>
    </row>
    <row r="4" spans="1:16" x14ac:dyDescent="0.25">
      <c r="A4" s="15"/>
      <c r="B4" s="16"/>
      <c r="C4" s="17"/>
      <c r="D4" s="18"/>
      <c r="E4" s="18" t="s">
        <v>26</v>
      </c>
      <c r="F4" s="20" t="s">
        <v>27</v>
      </c>
      <c r="G4" s="21" t="s">
        <v>28</v>
      </c>
    </row>
    <row r="5" spans="1:16" x14ac:dyDescent="0.25">
      <c r="A5" s="15"/>
      <c r="B5" s="16"/>
      <c r="C5" s="17"/>
      <c r="D5" s="18"/>
      <c r="E5" s="18" t="s">
        <v>29</v>
      </c>
      <c r="F5" s="20" t="s">
        <v>30</v>
      </c>
      <c r="G5" s="21" t="s">
        <v>31</v>
      </c>
    </row>
    <row r="6" spans="1:16" x14ac:dyDescent="0.25">
      <c r="A6" s="15"/>
      <c r="B6" s="16"/>
      <c r="C6" s="17"/>
      <c r="D6" s="18"/>
      <c r="E6" s="18"/>
      <c r="F6" s="20" t="s">
        <v>32</v>
      </c>
      <c r="G6" s="21" t="s">
        <v>33</v>
      </c>
    </row>
    <row r="7" spans="1:16" ht="45.75" thickBot="1" x14ac:dyDescent="0.3">
      <c r="A7" s="22"/>
      <c r="B7" s="23"/>
      <c r="C7" s="24"/>
      <c r="D7" s="25"/>
      <c r="E7" s="25"/>
      <c r="F7" s="26" t="s">
        <v>34</v>
      </c>
      <c r="G7" s="27"/>
      <c r="H7" t="s">
        <v>35</v>
      </c>
      <c r="J7" s="38" t="s">
        <v>36</v>
      </c>
      <c r="K7" s="38"/>
      <c r="L7" s="38"/>
      <c r="M7" s="38" t="s">
        <v>37</v>
      </c>
      <c r="N7" s="38" t="s">
        <v>38</v>
      </c>
      <c r="O7" s="38" t="s">
        <v>39</v>
      </c>
    </row>
    <row r="8" spans="1:16" x14ac:dyDescent="0.25">
      <c r="A8" s="1">
        <v>1950.01</v>
      </c>
      <c r="B8" s="2" t="s">
        <v>0</v>
      </c>
      <c r="C8" s="3">
        <v>1950.01</v>
      </c>
      <c r="D8" s="4" t="s">
        <v>1</v>
      </c>
      <c r="E8" s="4">
        <v>1000000</v>
      </c>
      <c r="F8" s="5">
        <v>1.0000000000000002E-13</v>
      </c>
      <c r="G8" s="6">
        <v>9.02</v>
      </c>
      <c r="H8" s="29">
        <f>+G8</f>
        <v>9.02</v>
      </c>
      <c r="I8" s="29"/>
      <c r="J8" s="30">
        <v>5.3337999999999997E-12</v>
      </c>
      <c r="K8" s="40">
        <v>100</v>
      </c>
      <c r="L8" s="42">
        <f>+H8/K8*100</f>
        <v>9.02</v>
      </c>
      <c r="M8" s="31">
        <v>-1.8</v>
      </c>
      <c r="N8" s="31">
        <v>-1.8</v>
      </c>
      <c r="O8" s="31">
        <v>30.6</v>
      </c>
      <c r="P8" s="39">
        <f>+O8/100</f>
        <v>0.30599999999999999</v>
      </c>
    </row>
    <row r="9" spans="1:16" x14ac:dyDescent="0.25">
      <c r="A9" s="7"/>
      <c r="B9" s="2" t="s">
        <v>2</v>
      </c>
      <c r="C9" s="3">
        <v>1950.02</v>
      </c>
      <c r="D9" s="4" t="s">
        <v>1</v>
      </c>
      <c r="E9" s="4">
        <v>1000000</v>
      </c>
      <c r="F9" s="5">
        <v>1.0000000000000002E-13</v>
      </c>
      <c r="G9" s="6">
        <v>9.02</v>
      </c>
      <c r="H9" s="29">
        <f t="shared" ref="H9:H72" si="0">+G9</f>
        <v>9.02</v>
      </c>
      <c r="I9" s="29"/>
      <c r="J9" s="32">
        <v>5.4727999999999999E-12</v>
      </c>
      <c r="K9" s="41">
        <f>+J9*$K$8/$J$8</f>
        <v>102.60602197307736</v>
      </c>
      <c r="L9" s="42">
        <f t="shared" ref="L9:L72" si="1">+H9/K9*100</f>
        <v>8.7909070311357969</v>
      </c>
      <c r="M9" s="33">
        <v>2.6</v>
      </c>
      <c r="N9" s="33">
        <v>0.8</v>
      </c>
      <c r="O9" s="33">
        <v>34.299999999999997</v>
      </c>
      <c r="P9" s="39">
        <f t="shared" ref="P9:P72" si="2">+O9/100</f>
        <v>0.34299999999999997</v>
      </c>
    </row>
    <row r="10" spans="1:16" x14ac:dyDescent="0.25">
      <c r="A10" s="7"/>
      <c r="B10" s="2" t="s">
        <v>3</v>
      </c>
      <c r="C10" s="3">
        <v>1950.03</v>
      </c>
      <c r="D10" s="4" t="s">
        <v>1</v>
      </c>
      <c r="E10" s="4">
        <v>1000000</v>
      </c>
      <c r="F10" s="5">
        <v>1.0000000000000002E-13</v>
      </c>
      <c r="G10" s="6">
        <v>9.02</v>
      </c>
      <c r="H10" s="29">
        <f t="shared" si="0"/>
        <v>9.02</v>
      </c>
      <c r="I10" s="29"/>
      <c r="J10" s="32">
        <v>5.4746000000000001E-12</v>
      </c>
      <c r="K10" s="41">
        <f t="shared" ref="K10:K73" si="3">+J10*$K$8/$J$8</f>
        <v>102.63976902021074</v>
      </c>
      <c r="L10" s="42">
        <f t="shared" si="1"/>
        <v>8.7880166587513244</v>
      </c>
      <c r="M10" s="33">
        <v>0</v>
      </c>
      <c r="N10" s="33">
        <v>0.8</v>
      </c>
      <c r="O10" s="33">
        <v>25.8</v>
      </c>
      <c r="P10" s="39">
        <f t="shared" si="2"/>
        <v>0.25800000000000001</v>
      </c>
    </row>
    <row r="11" spans="1:16" x14ac:dyDescent="0.25">
      <c r="A11" s="7"/>
      <c r="B11" s="2" t="s">
        <v>4</v>
      </c>
      <c r="C11" s="3">
        <v>1950.04</v>
      </c>
      <c r="D11" s="4" t="s">
        <v>1</v>
      </c>
      <c r="E11" s="4">
        <v>1000000</v>
      </c>
      <c r="F11" s="5">
        <v>1.0000000000000002E-13</v>
      </c>
      <c r="G11" s="6">
        <v>9.02</v>
      </c>
      <c r="H11" s="29">
        <f t="shared" si="0"/>
        <v>9.02</v>
      </c>
      <c r="I11" s="29"/>
      <c r="J11" s="32">
        <v>5.5935999999999999E-12</v>
      </c>
      <c r="K11" s="41">
        <f t="shared" si="3"/>
        <v>104.87082380291726</v>
      </c>
      <c r="L11" s="42">
        <f t="shared" si="1"/>
        <v>8.6010576372997694</v>
      </c>
      <c r="M11" s="33">
        <v>2.2000000000000002</v>
      </c>
      <c r="N11" s="33">
        <v>3</v>
      </c>
      <c r="O11" s="33">
        <v>22.6</v>
      </c>
      <c r="P11" s="39">
        <f t="shared" si="2"/>
        <v>0.22600000000000001</v>
      </c>
    </row>
    <row r="12" spans="1:16" x14ac:dyDescent="0.25">
      <c r="A12" s="7"/>
      <c r="B12" s="2" t="s">
        <v>5</v>
      </c>
      <c r="C12" s="3">
        <v>1950.05</v>
      </c>
      <c r="D12" s="4" t="s">
        <v>1</v>
      </c>
      <c r="E12" s="4">
        <v>1000000</v>
      </c>
      <c r="F12" s="5">
        <v>1.0000000000000002E-13</v>
      </c>
      <c r="G12" s="6">
        <v>9.02</v>
      </c>
      <c r="H12" s="29">
        <f t="shared" si="0"/>
        <v>9.02</v>
      </c>
      <c r="I12" s="29"/>
      <c r="J12" s="32">
        <v>5.8595999999999998E-12</v>
      </c>
      <c r="K12" s="41">
        <f t="shared" si="3"/>
        <v>109.85788743484946</v>
      </c>
      <c r="L12" s="42">
        <f t="shared" si="1"/>
        <v>8.210607550003413</v>
      </c>
      <c r="M12" s="33">
        <v>4.8</v>
      </c>
      <c r="N12" s="33">
        <v>7.9</v>
      </c>
      <c r="O12" s="33">
        <v>24.8</v>
      </c>
      <c r="P12" s="39">
        <f t="shared" si="2"/>
        <v>0.248</v>
      </c>
    </row>
    <row r="13" spans="1:16" x14ac:dyDescent="0.25">
      <c r="A13" s="7"/>
      <c r="B13" s="2" t="s">
        <v>6</v>
      </c>
      <c r="C13" s="3">
        <v>1950.06</v>
      </c>
      <c r="D13" s="4" t="s">
        <v>1</v>
      </c>
      <c r="E13" s="4">
        <v>1000000</v>
      </c>
      <c r="F13" s="5">
        <v>1.0000000000000002E-13</v>
      </c>
      <c r="G13" s="6">
        <v>9.02</v>
      </c>
      <c r="H13" s="29">
        <f t="shared" si="0"/>
        <v>9.02</v>
      </c>
      <c r="I13" s="29"/>
      <c r="J13" s="32">
        <v>6.0268999999999997E-12</v>
      </c>
      <c r="K13" s="41">
        <f t="shared" si="3"/>
        <v>112.99448798230155</v>
      </c>
      <c r="L13" s="42">
        <f t="shared" si="1"/>
        <v>7.9826902719474351</v>
      </c>
      <c r="M13" s="33">
        <v>2.9</v>
      </c>
      <c r="N13" s="33">
        <v>11</v>
      </c>
      <c r="O13" s="33">
        <v>26.8</v>
      </c>
      <c r="P13" s="39">
        <f t="shared" si="2"/>
        <v>0.26800000000000002</v>
      </c>
    </row>
    <row r="14" spans="1:16" x14ac:dyDescent="0.25">
      <c r="A14" s="7"/>
      <c r="B14" s="2" t="s">
        <v>7</v>
      </c>
      <c r="C14" s="3">
        <v>1950.07</v>
      </c>
      <c r="D14" s="4" t="s">
        <v>1</v>
      </c>
      <c r="E14" s="4">
        <v>1000000</v>
      </c>
      <c r="F14" s="5">
        <v>1.0000000000000002E-13</v>
      </c>
      <c r="G14" s="6">
        <v>9.02</v>
      </c>
      <c r="H14" s="29">
        <f t="shared" si="0"/>
        <v>9.02</v>
      </c>
      <c r="I14" s="29"/>
      <c r="J14" s="32">
        <v>6.0288000000000003E-12</v>
      </c>
      <c r="K14" s="41">
        <f t="shared" si="3"/>
        <v>113.03010986538678</v>
      </c>
      <c r="L14" s="42">
        <f t="shared" si="1"/>
        <v>7.9801744957537153</v>
      </c>
      <c r="M14" s="33">
        <v>0</v>
      </c>
      <c r="N14" s="33">
        <v>11</v>
      </c>
      <c r="O14" s="33">
        <v>24.6</v>
      </c>
      <c r="P14" s="39">
        <f t="shared" si="2"/>
        <v>0.24600000000000002</v>
      </c>
    </row>
    <row r="15" spans="1:16" x14ac:dyDescent="0.25">
      <c r="A15" s="7"/>
      <c r="B15" s="2" t="s">
        <v>8</v>
      </c>
      <c r="C15" s="3">
        <v>1950.08</v>
      </c>
      <c r="D15" s="4" t="s">
        <v>1</v>
      </c>
      <c r="E15" s="4">
        <v>1000000</v>
      </c>
      <c r="F15" s="5">
        <v>1.0000000000000002E-13</v>
      </c>
      <c r="G15" s="6">
        <v>9.7705000000000002</v>
      </c>
      <c r="H15" s="29">
        <f t="shared" si="0"/>
        <v>9.7705000000000002</v>
      </c>
      <c r="I15" s="29"/>
      <c r="J15" s="32">
        <v>6.0405999999999999E-12</v>
      </c>
      <c r="K15" s="41">
        <f t="shared" si="3"/>
        <v>113.25134050770558</v>
      </c>
      <c r="L15" s="42">
        <f t="shared" si="1"/>
        <v>8.6272709499056379</v>
      </c>
      <c r="M15" s="33">
        <v>0.2</v>
      </c>
      <c r="N15" s="33">
        <v>11.2</v>
      </c>
      <c r="O15" s="33">
        <v>22.7</v>
      </c>
      <c r="P15" s="39">
        <f t="shared" si="2"/>
        <v>0.22699999999999998</v>
      </c>
    </row>
    <row r="16" spans="1:16" x14ac:dyDescent="0.25">
      <c r="A16" s="7"/>
      <c r="B16" s="2" t="s">
        <v>9</v>
      </c>
      <c r="C16" s="3">
        <v>1950.09</v>
      </c>
      <c r="D16" s="4" t="s">
        <v>1</v>
      </c>
      <c r="E16" s="4">
        <v>1000000</v>
      </c>
      <c r="F16" s="5">
        <v>1.0000000000000002E-13</v>
      </c>
      <c r="G16" s="6">
        <v>13.679399999999999</v>
      </c>
      <c r="H16" s="29">
        <f t="shared" si="0"/>
        <v>13.679399999999999</v>
      </c>
      <c r="I16" s="29"/>
      <c r="J16" s="32">
        <v>6.2801000000000003E-12</v>
      </c>
      <c r="K16" s="41">
        <f t="shared" si="3"/>
        <v>117.74157261239642</v>
      </c>
      <c r="L16" s="42">
        <f t="shared" si="1"/>
        <v>11.618156354198179</v>
      </c>
      <c r="M16" s="33">
        <v>4</v>
      </c>
      <c r="N16" s="33">
        <v>15.6</v>
      </c>
      <c r="O16" s="33">
        <v>25.6</v>
      </c>
      <c r="P16" s="39">
        <f t="shared" si="2"/>
        <v>0.25600000000000001</v>
      </c>
    </row>
    <row r="17" spans="1:16" x14ac:dyDescent="0.25">
      <c r="A17" s="7"/>
      <c r="B17" s="2" t="s">
        <v>10</v>
      </c>
      <c r="C17" s="3">
        <v>1950.1</v>
      </c>
      <c r="D17" s="4" t="s">
        <v>1</v>
      </c>
      <c r="E17" s="4">
        <v>1000000</v>
      </c>
      <c r="F17" s="5">
        <v>1.0000000000000002E-13</v>
      </c>
      <c r="G17" s="6">
        <v>13.633599999999999</v>
      </c>
      <c r="H17" s="29">
        <f t="shared" si="0"/>
        <v>13.633599999999999</v>
      </c>
      <c r="I17" s="29"/>
      <c r="J17" s="32">
        <v>6.5182999999999998E-12</v>
      </c>
      <c r="K17" s="41">
        <f t="shared" si="3"/>
        <v>122.20743184971316</v>
      </c>
      <c r="L17" s="42">
        <f t="shared" si="1"/>
        <v>11.156113661537516</v>
      </c>
      <c r="M17" s="33">
        <v>3.8</v>
      </c>
      <c r="N17" s="33">
        <v>20</v>
      </c>
      <c r="O17" s="33">
        <v>26.9</v>
      </c>
      <c r="P17" s="39">
        <f t="shared" si="2"/>
        <v>0.26899999999999996</v>
      </c>
    </row>
    <row r="18" spans="1:16" x14ac:dyDescent="0.25">
      <c r="A18" s="7"/>
      <c r="B18" s="2" t="s">
        <v>11</v>
      </c>
      <c r="C18" s="3">
        <v>1950.11</v>
      </c>
      <c r="D18" s="4" t="s">
        <v>1</v>
      </c>
      <c r="E18" s="4">
        <v>1000000</v>
      </c>
      <c r="F18" s="5">
        <v>1.0000000000000002E-13</v>
      </c>
      <c r="G18" s="6">
        <v>14.078200000000001</v>
      </c>
      <c r="H18" s="29">
        <f t="shared" si="0"/>
        <v>14.078200000000001</v>
      </c>
      <c r="I18" s="29"/>
      <c r="J18" s="32">
        <v>6.5039000000000002E-12</v>
      </c>
      <c r="K18" s="41">
        <f t="shared" si="3"/>
        <v>121.93745547264616</v>
      </c>
      <c r="L18" s="42">
        <f t="shared" si="1"/>
        <v>11.545427076062055</v>
      </c>
      <c r="M18" s="33">
        <v>-0.2</v>
      </c>
      <c r="N18" s="33">
        <v>19.8</v>
      </c>
      <c r="O18" s="33">
        <v>22.7</v>
      </c>
      <c r="P18" s="39">
        <f t="shared" si="2"/>
        <v>0.22699999999999998</v>
      </c>
    </row>
    <row r="19" spans="1:16" x14ac:dyDescent="0.25">
      <c r="A19" s="7"/>
      <c r="B19" s="2" t="s">
        <v>12</v>
      </c>
      <c r="C19" s="3">
        <v>1950.12</v>
      </c>
      <c r="D19" s="4" t="s">
        <v>1</v>
      </c>
      <c r="E19" s="4">
        <v>1000000</v>
      </c>
      <c r="F19" s="5">
        <v>1.0000000000000002E-13</v>
      </c>
      <c r="G19" s="6">
        <v>14.3842</v>
      </c>
      <c r="H19" s="29">
        <f t="shared" si="0"/>
        <v>14.3842</v>
      </c>
      <c r="I19" s="29"/>
      <c r="J19" s="32">
        <v>6.6310000000000003E-12</v>
      </c>
      <c r="K19" s="41">
        <f t="shared" si="3"/>
        <v>124.32037196745286</v>
      </c>
      <c r="L19" s="42">
        <f t="shared" si="1"/>
        <v>11.570267826873774</v>
      </c>
      <c r="M19" s="33">
        <v>2</v>
      </c>
      <c r="N19" s="33">
        <v>22.1</v>
      </c>
      <c r="O19" s="33">
        <v>22.1</v>
      </c>
      <c r="P19" s="39">
        <f t="shared" si="2"/>
        <v>0.221</v>
      </c>
    </row>
    <row r="20" spans="1:16" x14ac:dyDescent="0.25">
      <c r="A20" s="1">
        <v>1951.01</v>
      </c>
      <c r="B20" s="2" t="s">
        <v>13</v>
      </c>
      <c r="C20" s="3">
        <v>1951.01</v>
      </c>
      <c r="D20" s="4" t="s">
        <v>1</v>
      </c>
      <c r="E20" s="4">
        <v>1000000</v>
      </c>
      <c r="F20" s="5">
        <v>1.0000000000000002E-13</v>
      </c>
      <c r="G20" s="6">
        <v>14.0481</v>
      </c>
      <c r="H20" s="29">
        <f t="shared" si="0"/>
        <v>14.0481</v>
      </c>
      <c r="I20" s="39">
        <f>+H20/H8-1</f>
        <v>0.55743902439024406</v>
      </c>
      <c r="J20" s="32">
        <v>6.5664E-12</v>
      </c>
      <c r="K20" s="41">
        <f t="shared" si="3"/>
        <v>123.10922794255504</v>
      </c>
      <c r="L20" s="42">
        <f t="shared" si="1"/>
        <v>11.411086101973684</v>
      </c>
      <c r="M20" s="33">
        <v>-1</v>
      </c>
      <c r="N20" s="33">
        <v>-1</v>
      </c>
      <c r="O20" s="33">
        <v>23.1</v>
      </c>
      <c r="P20" s="39">
        <f t="shared" si="2"/>
        <v>0.23100000000000001</v>
      </c>
    </row>
    <row r="21" spans="1:16" x14ac:dyDescent="0.25">
      <c r="A21" s="7"/>
      <c r="B21" s="2" t="s">
        <v>2</v>
      </c>
      <c r="C21" s="3">
        <v>1951.02</v>
      </c>
      <c r="D21" s="4" t="s">
        <v>1</v>
      </c>
      <c r="E21" s="4">
        <v>1000000</v>
      </c>
      <c r="F21" s="5">
        <v>1.0000000000000002E-13</v>
      </c>
      <c r="G21" s="6">
        <v>14.03</v>
      </c>
      <c r="H21" s="29">
        <f t="shared" si="0"/>
        <v>14.03</v>
      </c>
      <c r="I21" s="39">
        <f t="shared" ref="I21:I84" si="4">+H21/H9-1</f>
        <v>0.55543237250554323</v>
      </c>
      <c r="J21" s="32">
        <v>6.7598999999999999E-12</v>
      </c>
      <c r="K21" s="41">
        <f t="shared" si="3"/>
        <v>126.73703550939292</v>
      </c>
      <c r="L21" s="42">
        <f t="shared" si="1"/>
        <v>11.070165830855485</v>
      </c>
      <c r="M21" s="33">
        <v>2.9</v>
      </c>
      <c r="N21" s="33">
        <v>1.9</v>
      </c>
      <c r="O21" s="33">
        <v>23.5</v>
      </c>
      <c r="P21" s="39">
        <f t="shared" si="2"/>
        <v>0.23499999999999999</v>
      </c>
    </row>
    <row r="22" spans="1:16" x14ac:dyDescent="0.25">
      <c r="A22" s="7"/>
      <c r="B22" s="2" t="s">
        <v>3</v>
      </c>
      <c r="C22" s="3">
        <v>1951.03</v>
      </c>
      <c r="D22" s="4" t="s">
        <v>1</v>
      </c>
      <c r="E22" s="4">
        <v>1000000</v>
      </c>
      <c r="F22" s="5">
        <v>1.0000000000000002E-13</v>
      </c>
      <c r="G22" s="6">
        <v>14.0771</v>
      </c>
      <c r="H22" s="29">
        <f t="shared" si="0"/>
        <v>14.0771</v>
      </c>
      <c r="I22" s="39">
        <f t="shared" si="4"/>
        <v>0.56065410199556553</v>
      </c>
      <c r="J22" s="32">
        <v>6.7801999999999997E-12</v>
      </c>
      <c r="K22" s="41">
        <f t="shared" si="3"/>
        <v>127.11762720761934</v>
      </c>
      <c r="L22" s="42">
        <f t="shared" si="1"/>
        <v>11.074073918173506</v>
      </c>
      <c r="M22" s="33">
        <v>0.3</v>
      </c>
      <c r="N22" s="33">
        <v>2.2999999999999998</v>
      </c>
      <c r="O22" s="33">
        <v>23.8</v>
      </c>
      <c r="P22" s="39">
        <f t="shared" si="2"/>
        <v>0.23800000000000002</v>
      </c>
    </row>
    <row r="23" spans="1:16" x14ac:dyDescent="0.25">
      <c r="A23" s="7"/>
      <c r="B23" s="2" t="s">
        <v>4</v>
      </c>
      <c r="C23" s="3">
        <v>1951.04</v>
      </c>
      <c r="D23" s="4" t="s">
        <v>1</v>
      </c>
      <c r="E23" s="4">
        <v>1000000</v>
      </c>
      <c r="F23" s="5">
        <v>1.0000000000000002E-13</v>
      </c>
      <c r="G23" s="6">
        <v>14.0463</v>
      </c>
      <c r="H23" s="29">
        <f t="shared" si="0"/>
        <v>14.0463</v>
      </c>
      <c r="I23" s="39">
        <f t="shared" si="4"/>
        <v>0.55723946784922407</v>
      </c>
      <c r="J23" s="32">
        <v>7.3926999999999994E-12</v>
      </c>
      <c r="K23" s="41">
        <f t="shared" si="3"/>
        <v>138.6009974127264</v>
      </c>
      <c r="L23" s="42">
        <f t="shared" si="1"/>
        <v>10.134342654239994</v>
      </c>
      <c r="M23" s="33">
        <v>9</v>
      </c>
      <c r="N23" s="33">
        <v>11.5</v>
      </c>
      <c r="O23" s="33">
        <v>32.200000000000003</v>
      </c>
      <c r="P23" s="39">
        <f t="shared" si="2"/>
        <v>0.32200000000000001</v>
      </c>
    </row>
    <row r="24" spans="1:16" x14ac:dyDescent="0.25">
      <c r="A24" s="7"/>
      <c r="B24" s="2" t="s">
        <v>5</v>
      </c>
      <c r="C24" s="3">
        <v>1951.05</v>
      </c>
      <c r="D24" s="4" t="s">
        <v>1</v>
      </c>
      <c r="E24" s="4">
        <v>1000000</v>
      </c>
      <c r="F24" s="5">
        <v>1.0000000000000002E-13</v>
      </c>
      <c r="G24" s="6">
        <v>14.1732</v>
      </c>
      <c r="H24" s="29">
        <f t="shared" si="0"/>
        <v>14.1732</v>
      </c>
      <c r="I24" s="39">
        <f t="shared" si="4"/>
        <v>0.5713082039911308</v>
      </c>
      <c r="J24" s="32">
        <v>7.9441000000000005E-12</v>
      </c>
      <c r="K24" s="41">
        <f t="shared" si="3"/>
        <v>148.93884285125054</v>
      </c>
      <c r="L24" s="42">
        <f t="shared" si="1"/>
        <v>9.5161206631336448</v>
      </c>
      <c r="M24" s="33">
        <v>7.5</v>
      </c>
      <c r="N24" s="33">
        <v>19.8</v>
      </c>
      <c r="O24" s="33">
        <v>35.6</v>
      </c>
      <c r="P24" s="39">
        <f t="shared" si="2"/>
        <v>0.35600000000000004</v>
      </c>
    </row>
    <row r="25" spans="1:16" x14ac:dyDescent="0.25">
      <c r="A25" s="7"/>
      <c r="B25" s="2" t="s">
        <v>6</v>
      </c>
      <c r="C25" s="3">
        <v>1951.06</v>
      </c>
      <c r="D25" s="4" t="s">
        <v>1</v>
      </c>
      <c r="E25" s="4">
        <v>1000000</v>
      </c>
      <c r="F25" s="5">
        <v>1.0000000000000002E-13</v>
      </c>
      <c r="G25" s="6">
        <v>14.1409</v>
      </c>
      <c r="H25" s="29">
        <f t="shared" si="0"/>
        <v>14.1409</v>
      </c>
      <c r="I25" s="39">
        <f t="shared" si="4"/>
        <v>0.56772727272727286</v>
      </c>
      <c r="J25" s="32">
        <v>8.2078999999999994E-12</v>
      </c>
      <c r="K25" s="41">
        <f t="shared" si="3"/>
        <v>153.88466009224192</v>
      </c>
      <c r="L25" s="42">
        <f t="shared" si="1"/>
        <v>9.1892850083456192</v>
      </c>
      <c r="M25" s="33">
        <v>3.3</v>
      </c>
      <c r="N25" s="33">
        <v>23.8</v>
      </c>
      <c r="O25" s="33">
        <v>36.200000000000003</v>
      </c>
      <c r="P25" s="39">
        <f t="shared" si="2"/>
        <v>0.36200000000000004</v>
      </c>
    </row>
    <row r="26" spans="1:16" x14ac:dyDescent="0.25">
      <c r="A26" s="7"/>
      <c r="B26" s="2" t="s">
        <v>7</v>
      </c>
      <c r="C26" s="3">
        <v>1951.07</v>
      </c>
      <c r="D26" s="4" t="s">
        <v>1</v>
      </c>
      <c r="E26" s="4">
        <v>1000000</v>
      </c>
      <c r="F26" s="5">
        <v>1.0000000000000002E-13</v>
      </c>
      <c r="G26" s="6">
        <v>14.058299999999999</v>
      </c>
      <c r="H26" s="29">
        <f t="shared" si="0"/>
        <v>14.058299999999999</v>
      </c>
      <c r="I26" s="39">
        <f t="shared" si="4"/>
        <v>0.55856984478935701</v>
      </c>
      <c r="J26" s="32">
        <v>8.2702999999999996E-12</v>
      </c>
      <c r="K26" s="41">
        <f t="shared" si="3"/>
        <v>155.05455772619896</v>
      </c>
      <c r="L26" s="42">
        <f t="shared" si="1"/>
        <v>9.0666796295176706</v>
      </c>
      <c r="M26" s="33">
        <v>0.8</v>
      </c>
      <c r="N26" s="33">
        <v>24.7</v>
      </c>
      <c r="O26" s="33">
        <v>37.200000000000003</v>
      </c>
      <c r="P26" s="39">
        <f t="shared" si="2"/>
        <v>0.37200000000000005</v>
      </c>
    </row>
    <row r="27" spans="1:16" x14ac:dyDescent="0.25">
      <c r="A27" s="7"/>
      <c r="B27" s="2" t="s">
        <v>8</v>
      </c>
      <c r="C27" s="3">
        <v>1951.08</v>
      </c>
      <c r="D27" s="4" t="s">
        <v>1</v>
      </c>
      <c r="E27" s="4">
        <v>1000000</v>
      </c>
      <c r="F27" s="5">
        <v>1.0000000000000002E-13</v>
      </c>
      <c r="G27" s="6">
        <v>14.152200000000001</v>
      </c>
      <c r="H27" s="29">
        <f t="shared" si="0"/>
        <v>14.152200000000001</v>
      </c>
      <c r="I27" s="39">
        <f t="shared" si="4"/>
        <v>0.44846220766593325</v>
      </c>
      <c r="J27" s="32">
        <v>9.0363999999999997E-12</v>
      </c>
      <c r="K27" s="41">
        <f t="shared" si="3"/>
        <v>169.41767595335409</v>
      </c>
      <c r="L27" s="42">
        <f t="shared" si="1"/>
        <v>8.3534376920012399</v>
      </c>
      <c r="M27" s="33">
        <v>9.3000000000000007</v>
      </c>
      <c r="N27" s="33">
        <v>36.299999999999997</v>
      </c>
      <c r="O27" s="33">
        <v>49.6</v>
      </c>
      <c r="P27" s="39">
        <f t="shared" si="2"/>
        <v>0.496</v>
      </c>
    </row>
    <row r="28" spans="1:16" x14ac:dyDescent="0.25">
      <c r="A28" s="7"/>
      <c r="B28" s="2" t="s">
        <v>9</v>
      </c>
      <c r="C28" s="3">
        <v>1951.09</v>
      </c>
      <c r="D28" s="4" t="s">
        <v>1</v>
      </c>
      <c r="E28" s="4">
        <v>1000000</v>
      </c>
      <c r="F28" s="5">
        <v>1.0000000000000002E-13</v>
      </c>
      <c r="G28" s="6">
        <v>14.4176</v>
      </c>
      <c r="H28" s="29">
        <f t="shared" si="0"/>
        <v>14.4176</v>
      </c>
      <c r="I28" s="39">
        <f t="shared" si="4"/>
        <v>5.3964355161776112E-2</v>
      </c>
      <c r="J28" s="32">
        <v>8.8646999999999996E-12</v>
      </c>
      <c r="K28" s="41">
        <f t="shared" si="3"/>
        <v>166.19858262402039</v>
      </c>
      <c r="L28" s="42">
        <f t="shared" si="1"/>
        <v>8.6749235597369339</v>
      </c>
      <c r="M28" s="33">
        <v>-1.9</v>
      </c>
      <c r="N28" s="33">
        <v>33.700000000000003</v>
      </c>
      <c r="O28" s="33">
        <v>41.2</v>
      </c>
      <c r="P28" s="39">
        <f t="shared" si="2"/>
        <v>0.41200000000000003</v>
      </c>
    </row>
    <row r="29" spans="1:16" x14ac:dyDescent="0.25">
      <c r="A29" s="7"/>
      <c r="B29" s="2" t="s">
        <v>10</v>
      </c>
      <c r="C29" s="3">
        <v>1951.1</v>
      </c>
      <c r="D29" s="4" t="s">
        <v>1</v>
      </c>
      <c r="E29" s="4">
        <v>1000000</v>
      </c>
      <c r="F29" s="5">
        <v>1.0000000000000002E-13</v>
      </c>
      <c r="G29" s="6">
        <v>14.407299999999999</v>
      </c>
      <c r="H29" s="29">
        <f t="shared" si="0"/>
        <v>14.407299999999999</v>
      </c>
      <c r="I29" s="39">
        <f t="shared" si="4"/>
        <v>5.6749501232249644E-2</v>
      </c>
      <c r="J29" s="32">
        <v>9.1348000000000002E-12</v>
      </c>
      <c r="K29" s="41">
        <f t="shared" si="3"/>
        <v>171.26251452997863</v>
      </c>
      <c r="L29" s="42">
        <f t="shared" si="1"/>
        <v>8.4124071397293854</v>
      </c>
      <c r="M29" s="33">
        <v>3</v>
      </c>
      <c r="N29" s="33">
        <v>37.799999999999997</v>
      </c>
      <c r="O29" s="33">
        <v>40.1</v>
      </c>
      <c r="P29" s="39">
        <f t="shared" si="2"/>
        <v>0.40100000000000002</v>
      </c>
    </row>
    <row r="30" spans="1:16" x14ac:dyDescent="0.25">
      <c r="A30" s="7"/>
      <c r="B30" s="2" t="s">
        <v>11</v>
      </c>
      <c r="C30" s="3">
        <v>1951.11</v>
      </c>
      <c r="D30" s="4" t="s">
        <v>1</v>
      </c>
      <c r="E30" s="4">
        <v>1000000</v>
      </c>
      <c r="F30" s="5">
        <v>1.0000000000000002E-13</v>
      </c>
      <c r="G30" s="6">
        <v>14.4552</v>
      </c>
      <c r="H30" s="29">
        <f t="shared" si="0"/>
        <v>14.4552</v>
      </c>
      <c r="I30" s="39">
        <f t="shared" si="4"/>
        <v>2.6778991632453009E-2</v>
      </c>
      <c r="J30" s="32">
        <v>9.1648000000000007E-12</v>
      </c>
      <c r="K30" s="41">
        <f t="shared" si="3"/>
        <v>171.82496531553491</v>
      </c>
      <c r="L30" s="42">
        <f t="shared" si="1"/>
        <v>8.4127472241620094</v>
      </c>
      <c r="M30" s="33">
        <v>0.3</v>
      </c>
      <c r="N30" s="33">
        <v>38.200000000000003</v>
      </c>
      <c r="O30" s="33">
        <v>40.9</v>
      </c>
      <c r="P30" s="39">
        <f t="shared" si="2"/>
        <v>0.40899999999999997</v>
      </c>
    </row>
    <row r="31" spans="1:16" x14ac:dyDescent="0.25">
      <c r="A31" s="7"/>
      <c r="B31" s="2" t="s">
        <v>12</v>
      </c>
      <c r="C31" s="3">
        <v>1951.12</v>
      </c>
      <c r="D31" s="4" t="s">
        <v>1</v>
      </c>
      <c r="E31" s="4">
        <v>1000000</v>
      </c>
      <c r="F31" s="5">
        <v>1.0000000000000002E-13</v>
      </c>
      <c r="G31" s="6">
        <v>14.3437</v>
      </c>
      <c r="H31" s="29">
        <f t="shared" si="0"/>
        <v>14.3437</v>
      </c>
      <c r="I31" s="39">
        <f t="shared" si="4"/>
        <v>-2.8155893271784027E-3</v>
      </c>
      <c r="J31" s="32">
        <v>9.9604999999999998E-12</v>
      </c>
      <c r="K31" s="41">
        <f t="shared" si="3"/>
        <v>186.74303498443885</v>
      </c>
      <c r="L31" s="42">
        <f t="shared" si="1"/>
        <v>7.6809825872195177</v>
      </c>
      <c r="M31" s="33">
        <v>8.6999999999999993</v>
      </c>
      <c r="N31" s="33">
        <v>50.2</v>
      </c>
      <c r="O31" s="33">
        <v>50.2</v>
      </c>
      <c r="P31" s="39">
        <f t="shared" si="2"/>
        <v>0.502</v>
      </c>
    </row>
    <row r="32" spans="1:16" x14ac:dyDescent="0.25">
      <c r="A32" s="1">
        <v>1952.01</v>
      </c>
      <c r="B32" s="2" t="s">
        <v>13</v>
      </c>
      <c r="C32" s="3">
        <v>1952.01</v>
      </c>
      <c r="D32" s="4" t="s">
        <v>1</v>
      </c>
      <c r="E32" s="4">
        <v>1000000</v>
      </c>
      <c r="F32" s="5">
        <v>1.0000000000000002E-13</v>
      </c>
      <c r="G32" s="6">
        <v>14.344099999999999</v>
      </c>
      <c r="H32" s="29">
        <f t="shared" si="0"/>
        <v>14.344099999999999</v>
      </c>
      <c r="I32" s="39">
        <f t="shared" si="4"/>
        <v>2.1070465045095021E-2</v>
      </c>
      <c r="J32" s="32">
        <v>1.0349500000000001E-11</v>
      </c>
      <c r="K32" s="41">
        <f t="shared" si="3"/>
        <v>194.03614683715176</v>
      </c>
      <c r="L32" s="42">
        <f t="shared" si="1"/>
        <v>7.392488582057104</v>
      </c>
      <c r="M32" s="33">
        <v>3.9</v>
      </c>
      <c r="N32" s="33">
        <v>3.9</v>
      </c>
      <c r="O32" s="33">
        <v>57.6</v>
      </c>
      <c r="P32" s="39">
        <f t="shared" si="2"/>
        <v>0.57600000000000007</v>
      </c>
    </row>
    <row r="33" spans="1:16" x14ac:dyDescent="0.25">
      <c r="A33" s="7"/>
      <c r="B33" s="2" t="s">
        <v>2</v>
      </c>
      <c r="C33" s="3">
        <v>1952.02</v>
      </c>
      <c r="D33" s="4" t="s">
        <v>1</v>
      </c>
      <c r="E33" s="4">
        <v>1000000</v>
      </c>
      <c r="F33" s="5">
        <v>1.0000000000000002E-13</v>
      </c>
      <c r="G33" s="6">
        <v>14.138199999999999</v>
      </c>
      <c r="H33" s="29">
        <f t="shared" si="0"/>
        <v>14.138199999999999</v>
      </c>
      <c r="I33" s="39">
        <f t="shared" si="4"/>
        <v>7.7120456165360451E-3</v>
      </c>
      <c r="J33" s="32">
        <v>1.0425700000000001E-11</v>
      </c>
      <c r="K33" s="41">
        <f t="shared" si="3"/>
        <v>195.46477183246469</v>
      </c>
      <c r="L33" s="42">
        <f t="shared" si="1"/>
        <v>7.2331192303634273</v>
      </c>
      <c r="M33" s="33">
        <v>0.7</v>
      </c>
      <c r="N33" s="33">
        <v>4.7</v>
      </c>
      <c r="O33" s="33">
        <v>54.2</v>
      </c>
      <c r="P33" s="39">
        <f t="shared" si="2"/>
        <v>0.54200000000000004</v>
      </c>
    </row>
    <row r="34" spans="1:16" x14ac:dyDescent="0.25">
      <c r="A34" s="7"/>
      <c r="B34" s="2" t="s">
        <v>3</v>
      </c>
      <c r="C34" s="3">
        <v>1952.03</v>
      </c>
      <c r="D34" s="4" t="s">
        <v>1</v>
      </c>
      <c r="E34" s="4">
        <v>1000000</v>
      </c>
      <c r="F34" s="5">
        <v>1.0000000000000002E-13</v>
      </c>
      <c r="G34" s="6">
        <v>14.030099999999999</v>
      </c>
      <c r="H34" s="29">
        <f t="shared" si="0"/>
        <v>14.030099999999999</v>
      </c>
      <c r="I34" s="39">
        <f t="shared" si="4"/>
        <v>-3.3387558517024019E-3</v>
      </c>
      <c r="J34" s="32">
        <v>1.0730099999999999E-11</v>
      </c>
      <c r="K34" s="41">
        <f t="shared" si="3"/>
        <v>201.17177246990889</v>
      </c>
      <c r="L34" s="42">
        <f t="shared" si="1"/>
        <v>6.9741891855621105</v>
      </c>
      <c r="M34" s="33">
        <v>2.9</v>
      </c>
      <c r="N34" s="33">
        <v>7.7</v>
      </c>
      <c r="O34" s="33">
        <v>58.3</v>
      </c>
      <c r="P34" s="39">
        <f t="shared" si="2"/>
        <v>0.58299999999999996</v>
      </c>
    </row>
    <row r="35" spans="1:16" x14ac:dyDescent="0.25">
      <c r="A35" s="7"/>
      <c r="B35" s="2" t="s">
        <v>4</v>
      </c>
      <c r="C35" s="3">
        <v>1952.04</v>
      </c>
      <c r="D35" s="4" t="s">
        <v>1</v>
      </c>
      <c r="E35" s="4">
        <v>1000000</v>
      </c>
      <c r="F35" s="5">
        <v>1.0000000000000002E-13</v>
      </c>
      <c r="G35" s="6">
        <v>14.03</v>
      </c>
      <c r="H35" s="29">
        <f t="shared" si="0"/>
        <v>14.03</v>
      </c>
      <c r="I35" s="39">
        <f t="shared" si="4"/>
        <v>-1.1604479471463147E-3</v>
      </c>
      <c r="J35" s="32">
        <v>1.1400699999999999E-11</v>
      </c>
      <c r="K35" s="41">
        <f t="shared" si="3"/>
        <v>213.74442236304324</v>
      </c>
      <c r="L35" s="42">
        <f t="shared" si="1"/>
        <v>6.5639139701948128</v>
      </c>
      <c r="M35" s="33">
        <v>6.2</v>
      </c>
      <c r="N35" s="33">
        <v>14.5</v>
      </c>
      <c r="O35" s="33">
        <v>54.2</v>
      </c>
      <c r="P35" s="39">
        <f t="shared" si="2"/>
        <v>0.54200000000000004</v>
      </c>
    </row>
    <row r="36" spans="1:16" x14ac:dyDescent="0.25">
      <c r="A36" s="7"/>
      <c r="B36" s="2" t="s">
        <v>5</v>
      </c>
      <c r="C36" s="3">
        <v>1952.05</v>
      </c>
      <c r="D36" s="4" t="s">
        <v>1</v>
      </c>
      <c r="E36" s="4">
        <v>1000000</v>
      </c>
      <c r="F36" s="5">
        <v>1.0000000000000002E-13</v>
      </c>
      <c r="G36" s="6">
        <v>14.0098</v>
      </c>
      <c r="H36" s="29">
        <f t="shared" si="0"/>
        <v>14.0098</v>
      </c>
      <c r="I36" s="39">
        <f t="shared" si="4"/>
        <v>-1.1528800835379438E-2</v>
      </c>
      <c r="J36" s="32">
        <v>1.1579900000000001E-11</v>
      </c>
      <c r="K36" s="41">
        <f t="shared" si="3"/>
        <v>217.10412838876601</v>
      </c>
      <c r="L36" s="42">
        <f t="shared" si="1"/>
        <v>6.4530325166883991</v>
      </c>
      <c r="M36" s="33">
        <v>1.6</v>
      </c>
      <c r="N36" s="33">
        <v>16.3</v>
      </c>
      <c r="O36" s="33">
        <v>45.8</v>
      </c>
      <c r="P36" s="39">
        <f t="shared" si="2"/>
        <v>0.45799999999999996</v>
      </c>
    </row>
    <row r="37" spans="1:16" x14ac:dyDescent="0.25">
      <c r="A37" s="7"/>
      <c r="B37" s="2" t="s">
        <v>6</v>
      </c>
      <c r="C37" s="3">
        <v>1952.06</v>
      </c>
      <c r="D37" s="4" t="s">
        <v>1</v>
      </c>
      <c r="E37" s="4">
        <v>1000000</v>
      </c>
      <c r="F37" s="5">
        <v>1.0000000000000002E-13</v>
      </c>
      <c r="G37" s="6">
        <v>13.977399999999999</v>
      </c>
      <c r="H37" s="29">
        <f t="shared" si="0"/>
        <v>13.977399999999999</v>
      </c>
      <c r="I37" s="39">
        <f t="shared" si="4"/>
        <v>-1.156220608306413E-2</v>
      </c>
      <c r="J37" s="32">
        <v>1.1819599999999999E-11</v>
      </c>
      <c r="K37" s="41">
        <f t="shared" si="3"/>
        <v>221.59811016536054</v>
      </c>
      <c r="L37" s="42">
        <f t="shared" si="1"/>
        <v>6.3075447663203486</v>
      </c>
      <c r="M37" s="33">
        <v>2.1</v>
      </c>
      <c r="N37" s="33">
        <v>18.7</v>
      </c>
      <c r="O37" s="33">
        <v>44</v>
      </c>
      <c r="P37" s="39">
        <f t="shared" si="2"/>
        <v>0.44</v>
      </c>
    </row>
    <row r="38" spans="1:16" x14ac:dyDescent="0.25">
      <c r="A38" s="7"/>
      <c r="B38" s="2" t="s">
        <v>7</v>
      </c>
      <c r="C38" s="3">
        <v>1952.07</v>
      </c>
      <c r="D38" s="4" t="s">
        <v>1</v>
      </c>
      <c r="E38" s="4">
        <v>1000000</v>
      </c>
      <c r="F38" s="5">
        <v>1.0000000000000002E-13</v>
      </c>
      <c r="G38" s="6">
        <v>13.9755</v>
      </c>
      <c r="H38" s="29">
        <f t="shared" si="0"/>
        <v>13.9755</v>
      </c>
      <c r="I38" s="39">
        <f t="shared" si="4"/>
        <v>-5.8897590747102324E-3</v>
      </c>
      <c r="J38" s="32">
        <v>1.1336100000000001E-11</v>
      </c>
      <c r="K38" s="41">
        <f t="shared" si="3"/>
        <v>212.53327833814541</v>
      </c>
      <c r="L38" s="42">
        <f t="shared" si="1"/>
        <v>6.5756761055389426</v>
      </c>
      <c r="M38" s="33">
        <v>-4.0999999999999996</v>
      </c>
      <c r="N38" s="33">
        <v>13.8</v>
      </c>
      <c r="O38" s="33">
        <v>37.1</v>
      </c>
      <c r="P38" s="39">
        <f t="shared" si="2"/>
        <v>0.371</v>
      </c>
    </row>
    <row r="39" spans="1:16" x14ac:dyDescent="0.25">
      <c r="A39" s="7"/>
      <c r="B39" s="2" t="s">
        <v>8</v>
      </c>
      <c r="C39" s="3">
        <v>1952.08</v>
      </c>
      <c r="D39" s="4" t="s">
        <v>1</v>
      </c>
      <c r="E39" s="4">
        <v>1000000</v>
      </c>
      <c r="F39" s="5">
        <v>1.0000000000000002E-13</v>
      </c>
      <c r="G39" s="6">
        <v>13.975</v>
      </c>
      <c r="H39" s="29">
        <f t="shared" si="0"/>
        <v>13.975</v>
      </c>
      <c r="I39" s="39">
        <f t="shared" si="4"/>
        <v>-1.2521021466627147E-2</v>
      </c>
      <c r="J39" s="32">
        <v>1.12895E-11</v>
      </c>
      <c r="K39" s="41">
        <f t="shared" si="3"/>
        <v>211.65960478458135</v>
      </c>
      <c r="L39" s="42">
        <f t="shared" si="1"/>
        <v>6.6025824881527084</v>
      </c>
      <c r="M39" s="33">
        <v>-0.4</v>
      </c>
      <c r="N39" s="33">
        <v>13.3</v>
      </c>
      <c r="O39" s="33">
        <v>24.9</v>
      </c>
      <c r="P39" s="39">
        <f t="shared" si="2"/>
        <v>0.249</v>
      </c>
    </row>
    <row r="40" spans="1:16" x14ac:dyDescent="0.25">
      <c r="A40" s="7"/>
      <c r="B40" s="2" t="s">
        <v>9</v>
      </c>
      <c r="C40" s="3">
        <v>1952.09</v>
      </c>
      <c r="D40" s="4" t="s">
        <v>1</v>
      </c>
      <c r="E40" s="4">
        <v>1000000</v>
      </c>
      <c r="F40" s="5">
        <v>1.0000000000000002E-13</v>
      </c>
      <c r="G40" s="6">
        <v>13.975199999999999</v>
      </c>
      <c r="H40" s="29">
        <f t="shared" si="0"/>
        <v>13.975199999999999</v>
      </c>
      <c r="I40" s="39">
        <f t="shared" si="4"/>
        <v>-3.0684718677172373E-2</v>
      </c>
      <c r="J40" s="32">
        <v>1.16689E-11</v>
      </c>
      <c r="K40" s="41">
        <f t="shared" si="3"/>
        <v>218.77273238591627</v>
      </c>
      <c r="L40" s="42">
        <f t="shared" si="1"/>
        <v>6.3879990196162435</v>
      </c>
      <c r="M40" s="33">
        <v>3.4</v>
      </c>
      <c r="N40" s="33">
        <v>17.2</v>
      </c>
      <c r="O40" s="33">
        <v>31.6</v>
      </c>
      <c r="P40" s="39">
        <f t="shared" si="2"/>
        <v>0.316</v>
      </c>
    </row>
    <row r="41" spans="1:16" x14ac:dyDescent="0.25">
      <c r="A41" s="7"/>
      <c r="B41" s="2" t="s">
        <v>10</v>
      </c>
      <c r="C41" s="3">
        <v>1952.1</v>
      </c>
      <c r="D41" s="4" t="s">
        <v>1</v>
      </c>
      <c r="E41" s="4">
        <v>1000000</v>
      </c>
      <c r="F41" s="5">
        <v>1.0000000000000002E-13</v>
      </c>
      <c r="G41" s="6">
        <v>13.975199999999999</v>
      </c>
      <c r="H41" s="29">
        <f t="shared" si="0"/>
        <v>13.975199999999999</v>
      </c>
      <c r="I41" s="39">
        <f t="shared" si="4"/>
        <v>-2.9991740298320968E-2</v>
      </c>
      <c r="J41" s="32">
        <v>1.17875E-11</v>
      </c>
      <c r="K41" s="41">
        <f t="shared" si="3"/>
        <v>220.99628782481537</v>
      </c>
      <c r="L41" s="42">
        <f t="shared" si="1"/>
        <v>6.3237261302226928</v>
      </c>
      <c r="M41" s="33">
        <v>1</v>
      </c>
      <c r="N41" s="33">
        <v>18.3</v>
      </c>
      <c r="O41" s="33">
        <v>29</v>
      </c>
      <c r="P41" s="39">
        <f t="shared" si="2"/>
        <v>0.28999999999999998</v>
      </c>
    </row>
    <row r="42" spans="1:16" x14ac:dyDescent="0.25">
      <c r="A42" s="7"/>
      <c r="B42" s="2" t="s">
        <v>11</v>
      </c>
      <c r="C42" s="3">
        <v>1952.11</v>
      </c>
      <c r="D42" s="4" t="s">
        <v>1</v>
      </c>
      <c r="E42" s="4">
        <v>1000000</v>
      </c>
      <c r="F42" s="5">
        <v>1.0000000000000002E-13</v>
      </c>
      <c r="G42" s="6">
        <v>13.975</v>
      </c>
      <c r="H42" s="29">
        <f t="shared" si="0"/>
        <v>13.975</v>
      </c>
      <c r="I42" s="39">
        <f t="shared" si="4"/>
        <v>-3.321987935137527E-2</v>
      </c>
      <c r="J42" s="32">
        <v>1.18175E-11</v>
      </c>
      <c r="K42" s="41">
        <f t="shared" si="3"/>
        <v>221.55873861037159</v>
      </c>
      <c r="L42" s="42">
        <f t="shared" si="1"/>
        <v>6.3075823989845574</v>
      </c>
      <c r="M42" s="33">
        <v>0.3</v>
      </c>
      <c r="N42" s="33">
        <v>18.600000000000001</v>
      </c>
      <c r="O42" s="33">
        <v>28.9</v>
      </c>
      <c r="P42" s="39">
        <f t="shared" si="2"/>
        <v>0.28899999999999998</v>
      </c>
    </row>
    <row r="43" spans="1:16" x14ac:dyDescent="0.25">
      <c r="A43" s="7"/>
      <c r="B43" s="2" t="s">
        <v>12</v>
      </c>
      <c r="C43" s="3">
        <v>1952.12</v>
      </c>
      <c r="D43" s="4" t="s">
        <v>1</v>
      </c>
      <c r="E43" s="4">
        <v>1000000</v>
      </c>
      <c r="F43" s="5">
        <v>1.0000000000000002E-13</v>
      </c>
      <c r="G43" s="6">
        <v>13.975</v>
      </c>
      <c r="H43" s="29">
        <f t="shared" si="0"/>
        <v>13.975</v>
      </c>
      <c r="I43" s="39">
        <f t="shared" si="4"/>
        <v>-2.5704664765715979E-2</v>
      </c>
      <c r="J43" s="32">
        <v>1.18599E-11</v>
      </c>
      <c r="K43" s="41">
        <f t="shared" si="3"/>
        <v>222.35366905395779</v>
      </c>
      <c r="L43" s="42">
        <f t="shared" si="1"/>
        <v>6.2850323358544333</v>
      </c>
      <c r="M43" s="33">
        <v>0.4</v>
      </c>
      <c r="N43" s="33">
        <v>19.100000000000001</v>
      </c>
      <c r="O43" s="33">
        <v>19.100000000000001</v>
      </c>
      <c r="P43" s="39">
        <f t="shared" si="2"/>
        <v>0.191</v>
      </c>
    </row>
    <row r="44" spans="1:16" x14ac:dyDescent="0.25">
      <c r="A44" s="1">
        <v>1953.01</v>
      </c>
      <c r="B44" s="2" t="s">
        <v>13</v>
      </c>
      <c r="C44" s="3">
        <v>1953.01</v>
      </c>
      <c r="D44" s="4" t="s">
        <v>1</v>
      </c>
      <c r="E44" s="4">
        <v>1000000</v>
      </c>
      <c r="F44" s="5">
        <v>1.0000000000000002E-13</v>
      </c>
      <c r="G44" s="6">
        <v>13.975</v>
      </c>
      <c r="H44" s="29">
        <f t="shared" si="0"/>
        <v>13.975</v>
      </c>
      <c r="I44" s="39">
        <f t="shared" si="4"/>
        <v>-2.5731833994464548E-2</v>
      </c>
      <c r="J44" s="32">
        <v>1.17076E-11</v>
      </c>
      <c r="K44" s="41">
        <f t="shared" si="3"/>
        <v>219.49829389928382</v>
      </c>
      <c r="L44" s="42">
        <f t="shared" si="1"/>
        <v>6.3667920837746417</v>
      </c>
      <c r="M44" s="33">
        <v>-1.3</v>
      </c>
      <c r="N44" s="33">
        <v>-1.3</v>
      </c>
      <c r="O44" s="33">
        <v>13.1</v>
      </c>
      <c r="P44" s="39">
        <f t="shared" si="2"/>
        <v>0.13100000000000001</v>
      </c>
    </row>
    <row r="45" spans="1:16" x14ac:dyDescent="0.25">
      <c r="A45" s="7"/>
      <c r="B45" s="2" t="s">
        <v>2</v>
      </c>
      <c r="C45" s="3">
        <v>1953.02</v>
      </c>
      <c r="D45" s="4" t="s">
        <v>1</v>
      </c>
      <c r="E45" s="4">
        <v>1000000</v>
      </c>
      <c r="F45" s="5">
        <v>1.0000000000000002E-13</v>
      </c>
      <c r="G45" s="6">
        <v>13.975</v>
      </c>
      <c r="H45" s="29">
        <f t="shared" si="0"/>
        <v>13.975</v>
      </c>
      <c r="I45" s="39">
        <f t="shared" si="4"/>
        <v>-1.1543195031899378E-2</v>
      </c>
      <c r="J45" s="32">
        <v>1.23875E-11</v>
      </c>
      <c r="K45" s="41">
        <f t="shared" si="3"/>
        <v>232.24530353594062</v>
      </c>
      <c r="L45" s="42">
        <f t="shared" si="1"/>
        <v>6.0173445005045405</v>
      </c>
      <c r="M45" s="33">
        <v>5.8</v>
      </c>
      <c r="N45" s="33">
        <v>4.4000000000000004</v>
      </c>
      <c r="O45" s="33">
        <v>18.8</v>
      </c>
      <c r="P45" s="39">
        <f t="shared" si="2"/>
        <v>0.188</v>
      </c>
    </row>
    <row r="46" spans="1:16" x14ac:dyDescent="0.25">
      <c r="A46" s="7"/>
      <c r="B46" s="2" t="s">
        <v>3</v>
      </c>
      <c r="C46" s="3">
        <v>1953.03</v>
      </c>
      <c r="D46" s="4" t="s">
        <v>1</v>
      </c>
      <c r="E46" s="4">
        <v>1000000</v>
      </c>
      <c r="F46" s="5">
        <v>1.0000000000000002E-13</v>
      </c>
      <c r="G46" s="6">
        <v>13.975</v>
      </c>
      <c r="H46" s="29">
        <f t="shared" si="0"/>
        <v>13.975</v>
      </c>
      <c r="I46" s="39">
        <f t="shared" si="4"/>
        <v>-3.9272706538086011E-3</v>
      </c>
      <c r="J46" s="32">
        <v>1.23291E-11</v>
      </c>
      <c r="K46" s="41">
        <f t="shared" si="3"/>
        <v>231.15039934005776</v>
      </c>
      <c r="L46" s="42">
        <f t="shared" si="1"/>
        <v>6.0458472232360831</v>
      </c>
      <c r="M46" s="33">
        <v>-0.5</v>
      </c>
      <c r="N46" s="33">
        <v>4</v>
      </c>
      <c r="O46" s="33">
        <v>14.9</v>
      </c>
      <c r="P46" s="39">
        <f t="shared" si="2"/>
        <v>0.14899999999999999</v>
      </c>
    </row>
    <row r="47" spans="1:16" x14ac:dyDescent="0.25">
      <c r="A47" s="7"/>
      <c r="B47" s="2" t="s">
        <v>4</v>
      </c>
      <c r="C47" s="3">
        <v>1953.04</v>
      </c>
      <c r="D47" s="4" t="s">
        <v>1</v>
      </c>
      <c r="E47" s="4">
        <v>1000000</v>
      </c>
      <c r="F47" s="5">
        <v>1.0000000000000002E-13</v>
      </c>
      <c r="G47" s="6">
        <v>13.975</v>
      </c>
      <c r="H47" s="29">
        <f t="shared" si="0"/>
        <v>13.975</v>
      </c>
      <c r="I47" s="39">
        <f t="shared" si="4"/>
        <v>-3.920171062009925E-3</v>
      </c>
      <c r="J47" s="32">
        <v>1.1811799999999999E-11</v>
      </c>
      <c r="K47" s="41">
        <f t="shared" si="3"/>
        <v>221.4518729611159</v>
      </c>
      <c r="L47" s="42">
        <f t="shared" si="1"/>
        <v>6.3106262381686111</v>
      </c>
      <c r="M47" s="33">
        <v>-4.2</v>
      </c>
      <c r="N47" s="33">
        <v>-0.4</v>
      </c>
      <c r="O47" s="33">
        <v>3.6</v>
      </c>
      <c r="P47" s="39">
        <f t="shared" si="2"/>
        <v>3.6000000000000004E-2</v>
      </c>
    </row>
    <row r="48" spans="1:16" x14ac:dyDescent="0.25">
      <c r="A48" s="7"/>
      <c r="B48" s="2" t="s">
        <v>5</v>
      </c>
      <c r="C48" s="3">
        <v>1953.05</v>
      </c>
      <c r="D48" s="4" t="s">
        <v>1</v>
      </c>
      <c r="E48" s="4">
        <v>1000000</v>
      </c>
      <c r="F48" s="5">
        <v>1.0000000000000002E-13</v>
      </c>
      <c r="G48" s="6">
        <v>13.975</v>
      </c>
      <c r="H48" s="29">
        <f t="shared" si="0"/>
        <v>13.975</v>
      </c>
      <c r="I48" s="39">
        <f t="shared" si="4"/>
        <v>-2.483975502862279E-3</v>
      </c>
      <c r="J48" s="32">
        <v>1.16202E-11</v>
      </c>
      <c r="K48" s="41">
        <f t="shared" si="3"/>
        <v>217.85968727736326</v>
      </c>
      <c r="L48" s="42">
        <f t="shared" si="1"/>
        <v>6.4146791793600793</v>
      </c>
      <c r="M48" s="33">
        <v>-1.6</v>
      </c>
      <c r="N48" s="33">
        <v>-2</v>
      </c>
      <c r="O48" s="33">
        <v>0.3</v>
      </c>
      <c r="P48" s="39">
        <f t="shared" si="2"/>
        <v>3.0000000000000001E-3</v>
      </c>
    </row>
    <row r="49" spans="1:16" x14ac:dyDescent="0.25">
      <c r="A49" s="7"/>
      <c r="B49" s="2" t="s">
        <v>6</v>
      </c>
      <c r="C49" s="3">
        <v>1953.06</v>
      </c>
      <c r="D49" s="4" t="s">
        <v>1</v>
      </c>
      <c r="E49" s="4">
        <v>1000000</v>
      </c>
      <c r="F49" s="5">
        <v>1.0000000000000002E-13</v>
      </c>
      <c r="G49" s="6">
        <v>13.975</v>
      </c>
      <c r="H49" s="29">
        <f t="shared" si="0"/>
        <v>13.975</v>
      </c>
      <c r="I49" s="39">
        <f t="shared" si="4"/>
        <v>-1.7170575357361439E-4</v>
      </c>
      <c r="J49" s="32">
        <v>1.16002E-11</v>
      </c>
      <c r="K49" s="41">
        <f t="shared" si="3"/>
        <v>217.48472008699238</v>
      </c>
      <c r="L49" s="42">
        <f t="shared" si="1"/>
        <v>6.4257387803658554</v>
      </c>
      <c r="M49" s="33">
        <v>-0.2</v>
      </c>
      <c r="N49" s="33">
        <v>-2.2000000000000002</v>
      </c>
      <c r="O49" s="33">
        <v>-1.9</v>
      </c>
      <c r="P49" s="39">
        <f t="shared" si="2"/>
        <v>-1.9E-2</v>
      </c>
    </row>
    <row r="50" spans="1:16" x14ac:dyDescent="0.25">
      <c r="A50" s="7"/>
      <c r="B50" s="2" t="s">
        <v>7</v>
      </c>
      <c r="C50" s="3">
        <v>1953.07</v>
      </c>
      <c r="D50" s="4" t="s">
        <v>1</v>
      </c>
      <c r="E50" s="4">
        <v>1000000</v>
      </c>
      <c r="F50" s="5">
        <v>1.0000000000000002E-13</v>
      </c>
      <c r="G50" s="6">
        <v>13.975</v>
      </c>
      <c r="H50" s="29">
        <f t="shared" si="0"/>
        <v>13.975</v>
      </c>
      <c r="I50" s="39">
        <f t="shared" si="4"/>
        <v>-3.5776895281114385E-5</v>
      </c>
      <c r="J50" s="32">
        <v>1.1690999999999999E-11</v>
      </c>
      <c r="K50" s="41">
        <f t="shared" si="3"/>
        <v>219.18707113127604</v>
      </c>
      <c r="L50" s="42">
        <f t="shared" si="1"/>
        <v>6.3758322641348038</v>
      </c>
      <c r="M50" s="33">
        <v>0.8</v>
      </c>
      <c r="N50" s="33">
        <v>-1.4</v>
      </c>
      <c r="O50" s="33">
        <v>3.1</v>
      </c>
      <c r="P50" s="39">
        <f t="shared" si="2"/>
        <v>3.1E-2</v>
      </c>
    </row>
    <row r="51" spans="1:16" x14ac:dyDescent="0.25">
      <c r="A51" s="7"/>
      <c r="B51" s="2" t="s">
        <v>8</v>
      </c>
      <c r="C51" s="3">
        <v>1953.08</v>
      </c>
      <c r="D51" s="4" t="s">
        <v>1</v>
      </c>
      <c r="E51" s="4">
        <v>1000000</v>
      </c>
      <c r="F51" s="5">
        <v>1.0000000000000002E-13</v>
      </c>
      <c r="G51" s="6">
        <v>13.975</v>
      </c>
      <c r="H51" s="29">
        <f t="shared" si="0"/>
        <v>13.975</v>
      </c>
      <c r="I51" s="39">
        <f t="shared" si="4"/>
        <v>0</v>
      </c>
      <c r="J51" s="32">
        <v>1.1700699999999999E-11</v>
      </c>
      <c r="K51" s="41">
        <f t="shared" si="3"/>
        <v>219.36893021860587</v>
      </c>
      <c r="L51" s="42">
        <f t="shared" si="1"/>
        <v>6.3705466339620713</v>
      </c>
      <c r="M51" s="33">
        <v>0.1</v>
      </c>
      <c r="N51" s="33">
        <v>-1.3</v>
      </c>
      <c r="O51" s="33">
        <v>3.6</v>
      </c>
      <c r="P51" s="39">
        <f t="shared" si="2"/>
        <v>3.6000000000000004E-2</v>
      </c>
    </row>
    <row r="52" spans="1:16" x14ac:dyDescent="0.25">
      <c r="A52" s="7"/>
      <c r="B52" s="2" t="s">
        <v>9</v>
      </c>
      <c r="C52" s="3">
        <v>1953.09</v>
      </c>
      <c r="D52" s="4" t="s">
        <v>1</v>
      </c>
      <c r="E52" s="4">
        <v>1000000</v>
      </c>
      <c r="F52" s="5">
        <v>1.0000000000000002E-13</v>
      </c>
      <c r="G52" s="6">
        <v>13.975</v>
      </c>
      <c r="H52" s="29">
        <f t="shared" si="0"/>
        <v>13.975</v>
      </c>
      <c r="I52" s="39">
        <f t="shared" si="4"/>
        <v>-1.4311065315686378E-5</v>
      </c>
      <c r="J52" s="32">
        <v>1.16202E-11</v>
      </c>
      <c r="K52" s="41">
        <f t="shared" si="3"/>
        <v>217.85968727736326</v>
      </c>
      <c r="L52" s="42">
        <f t="shared" si="1"/>
        <v>6.4146791793600793</v>
      </c>
      <c r="M52" s="33">
        <v>-0.7</v>
      </c>
      <c r="N52" s="33">
        <v>-2</v>
      </c>
      <c r="O52" s="33">
        <v>-0.4</v>
      </c>
      <c r="P52" s="39">
        <f t="shared" si="2"/>
        <v>-4.0000000000000001E-3</v>
      </c>
    </row>
    <row r="53" spans="1:16" x14ac:dyDescent="0.25">
      <c r="A53" s="7"/>
      <c r="B53" s="2" t="s">
        <v>10</v>
      </c>
      <c r="C53" s="3">
        <v>1953.1</v>
      </c>
      <c r="D53" s="4" t="s">
        <v>1</v>
      </c>
      <c r="E53" s="4">
        <v>1000000</v>
      </c>
      <c r="F53" s="5">
        <v>1.0000000000000002E-13</v>
      </c>
      <c r="G53" s="6">
        <v>13.975</v>
      </c>
      <c r="H53" s="29">
        <f t="shared" si="0"/>
        <v>13.975</v>
      </c>
      <c r="I53" s="39">
        <f t="shared" si="4"/>
        <v>-1.4311065315686378E-5</v>
      </c>
      <c r="J53" s="32">
        <v>1.1570199999999999E-11</v>
      </c>
      <c r="K53" s="41">
        <f t="shared" si="3"/>
        <v>216.92226930143613</v>
      </c>
      <c r="L53" s="42">
        <f t="shared" si="1"/>
        <v>6.4423998720851845</v>
      </c>
      <c r="M53" s="33">
        <v>-0.4</v>
      </c>
      <c r="N53" s="33">
        <v>-2.4</v>
      </c>
      <c r="O53" s="33">
        <v>-1.8</v>
      </c>
      <c r="P53" s="39">
        <f t="shared" si="2"/>
        <v>-1.8000000000000002E-2</v>
      </c>
    </row>
    <row r="54" spans="1:16" x14ac:dyDescent="0.25">
      <c r="A54" s="7"/>
      <c r="B54" s="2" t="s">
        <v>11</v>
      </c>
      <c r="C54" s="3">
        <v>1953.11</v>
      </c>
      <c r="D54" s="4" t="s">
        <v>1</v>
      </c>
      <c r="E54" s="4">
        <v>1000000</v>
      </c>
      <c r="F54" s="5">
        <v>1.0000000000000002E-13</v>
      </c>
      <c r="G54" s="6">
        <v>13.975</v>
      </c>
      <c r="H54" s="29">
        <f t="shared" si="0"/>
        <v>13.975</v>
      </c>
      <c r="I54" s="39">
        <f t="shared" si="4"/>
        <v>0</v>
      </c>
      <c r="J54" s="32">
        <v>1.16529E-11</v>
      </c>
      <c r="K54" s="41">
        <f t="shared" si="3"/>
        <v>218.47275863361958</v>
      </c>
      <c r="L54" s="42">
        <f t="shared" si="1"/>
        <v>6.3966785092122986</v>
      </c>
      <c r="M54" s="33">
        <v>0.7</v>
      </c>
      <c r="N54" s="33">
        <v>-1.7</v>
      </c>
      <c r="O54" s="33">
        <v>-1.4</v>
      </c>
      <c r="P54" s="39">
        <f t="shared" si="2"/>
        <v>-1.3999999999999999E-2</v>
      </c>
    </row>
    <row r="55" spans="1:16" x14ac:dyDescent="0.25">
      <c r="A55" s="7"/>
      <c r="B55" s="2" t="s">
        <v>12</v>
      </c>
      <c r="C55" s="3">
        <v>1953.12</v>
      </c>
      <c r="D55" s="4" t="s">
        <v>1</v>
      </c>
      <c r="E55" s="4">
        <v>1000000</v>
      </c>
      <c r="F55" s="5">
        <v>1.0000000000000002E-13</v>
      </c>
      <c r="G55" s="6">
        <v>13.975</v>
      </c>
      <c r="H55" s="29">
        <f t="shared" si="0"/>
        <v>13.975</v>
      </c>
      <c r="I55" s="39">
        <f t="shared" si="4"/>
        <v>0</v>
      </c>
      <c r="J55" s="32">
        <v>1.17756E-11</v>
      </c>
      <c r="K55" s="41">
        <f t="shared" si="3"/>
        <v>220.7731823465447</v>
      </c>
      <c r="L55" s="42">
        <f t="shared" si="1"/>
        <v>6.3300260708583842</v>
      </c>
      <c r="M55" s="33">
        <v>1.1000000000000001</v>
      </c>
      <c r="N55" s="33">
        <v>-0.7</v>
      </c>
      <c r="O55" s="33">
        <v>-0.7</v>
      </c>
      <c r="P55" s="39">
        <f t="shared" si="2"/>
        <v>-6.9999999999999993E-3</v>
      </c>
    </row>
    <row r="56" spans="1:16" x14ac:dyDescent="0.25">
      <c r="A56" s="1">
        <v>1954.01</v>
      </c>
      <c r="B56" s="2" t="s">
        <v>0</v>
      </c>
      <c r="C56" s="3">
        <v>1954.01</v>
      </c>
      <c r="D56" s="4" t="s">
        <v>1</v>
      </c>
      <c r="E56" s="4">
        <v>1000000</v>
      </c>
      <c r="F56" s="5">
        <v>1.0000000000000002E-13</v>
      </c>
      <c r="G56" s="6">
        <v>13.975</v>
      </c>
      <c r="H56" s="29">
        <f t="shared" si="0"/>
        <v>13.975</v>
      </c>
      <c r="I56" s="39">
        <f t="shared" si="4"/>
        <v>0</v>
      </c>
      <c r="J56" s="32">
        <v>1.15437E-11</v>
      </c>
      <c r="K56" s="41">
        <f t="shared" si="3"/>
        <v>216.42543777419476</v>
      </c>
      <c r="L56" s="42">
        <f t="shared" si="1"/>
        <v>6.4571892027686095</v>
      </c>
      <c r="M56" s="33">
        <v>-2</v>
      </c>
      <c r="N56" s="33">
        <v>-2</v>
      </c>
      <c r="O56" s="33">
        <v>-1.4</v>
      </c>
      <c r="P56" s="39">
        <f t="shared" si="2"/>
        <v>-1.3999999999999999E-2</v>
      </c>
    </row>
    <row r="57" spans="1:16" x14ac:dyDescent="0.25">
      <c r="A57" s="7"/>
      <c r="B57" s="2" t="s">
        <v>2</v>
      </c>
      <c r="C57" s="3">
        <v>1954.02</v>
      </c>
      <c r="D57" s="4" t="s">
        <v>1</v>
      </c>
      <c r="E57" s="4">
        <v>1000000</v>
      </c>
      <c r="F57" s="5">
        <v>1.0000000000000002E-13</v>
      </c>
      <c r="G57" s="6">
        <v>13.9762</v>
      </c>
      <c r="H57" s="29">
        <f t="shared" si="0"/>
        <v>13.9762</v>
      </c>
      <c r="I57" s="39">
        <f t="shared" si="4"/>
        <v>8.5867620751356455E-5</v>
      </c>
      <c r="J57" s="32">
        <v>1.1517399999999999E-11</v>
      </c>
      <c r="K57" s="41">
        <f t="shared" si="3"/>
        <v>215.9323559188571</v>
      </c>
      <c r="L57" s="42">
        <f t="shared" si="1"/>
        <v>6.4724899334919348</v>
      </c>
      <c r="M57" s="33">
        <v>-0.2</v>
      </c>
      <c r="N57" s="33">
        <v>-2.2000000000000002</v>
      </c>
      <c r="O57" s="33">
        <v>-7</v>
      </c>
      <c r="P57" s="39">
        <f t="shared" si="2"/>
        <v>-7.0000000000000007E-2</v>
      </c>
    </row>
    <row r="58" spans="1:16" x14ac:dyDescent="0.25">
      <c r="A58" s="7"/>
      <c r="B58" s="2" t="s">
        <v>3</v>
      </c>
      <c r="C58" s="3">
        <v>1954.03</v>
      </c>
      <c r="D58" s="4" t="s">
        <v>1</v>
      </c>
      <c r="E58" s="4">
        <v>1000000</v>
      </c>
      <c r="F58" s="5">
        <v>1.0000000000000002E-13</v>
      </c>
      <c r="G58" s="6">
        <v>13.975</v>
      </c>
      <c r="H58" s="29">
        <f t="shared" si="0"/>
        <v>13.975</v>
      </c>
      <c r="I58" s="39">
        <f t="shared" si="4"/>
        <v>0</v>
      </c>
      <c r="J58" s="32">
        <v>1.15355E-11</v>
      </c>
      <c r="K58" s="41">
        <f t="shared" si="3"/>
        <v>216.27170122614274</v>
      </c>
      <c r="L58" s="42">
        <f t="shared" si="1"/>
        <v>6.4617792900177706</v>
      </c>
      <c r="M58" s="33">
        <v>0.2</v>
      </c>
      <c r="N58" s="33">
        <v>-2</v>
      </c>
      <c r="O58" s="33">
        <v>-6.4</v>
      </c>
      <c r="P58" s="39">
        <f t="shared" si="2"/>
        <v>-6.4000000000000001E-2</v>
      </c>
    </row>
    <row r="59" spans="1:16" x14ac:dyDescent="0.25">
      <c r="A59" s="7"/>
      <c r="B59" s="2" t="s">
        <v>4</v>
      </c>
      <c r="C59" s="3">
        <v>1954.04</v>
      </c>
      <c r="D59" s="4" t="s">
        <v>1</v>
      </c>
      <c r="E59" s="4">
        <v>1000000</v>
      </c>
      <c r="F59" s="5">
        <v>1.0000000000000002E-13</v>
      </c>
      <c r="G59" s="6">
        <v>13.975</v>
      </c>
      <c r="H59" s="29">
        <f t="shared" si="0"/>
        <v>13.975</v>
      </c>
      <c r="I59" s="39">
        <f t="shared" si="4"/>
        <v>0</v>
      </c>
      <c r="J59" s="32">
        <v>1.17738E-11</v>
      </c>
      <c r="K59" s="41">
        <f t="shared" si="3"/>
        <v>220.7394352994113</v>
      </c>
      <c r="L59" s="42">
        <f t="shared" si="1"/>
        <v>6.3309938167796282</v>
      </c>
      <c r="M59" s="33">
        <v>2.1</v>
      </c>
      <c r="N59" s="33">
        <v>0</v>
      </c>
      <c r="O59" s="33">
        <v>-0.3</v>
      </c>
      <c r="P59" s="39">
        <f t="shared" si="2"/>
        <v>-3.0000000000000001E-3</v>
      </c>
    </row>
    <row r="60" spans="1:16" x14ac:dyDescent="0.25">
      <c r="A60" s="7"/>
      <c r="B60" s="2" t="s">
        <v>5</v>
      </c>
      <c r="C60" s="3">
        <v>1954.05</v>
      </c>
      <c r="D60" s="4" t="s">
        <v>1</v>
      </c>
      <c r="E60" s="4">
        <v>1000000</v>
      </c>
      <c r="F60" s="5">
        <v>1.0000000000000002E-13</v>
      </c>
      <c r="G60" s="6">
        <v>13.975</v>
      </c>
      <c r="H60" s="29">
        <f t="shared" si="0"/>
        <v>13.975</v>
      </c>
      <c r="I60" s="39">
        <f t="shared" si="4"/>
        <v>0</v>
      </c>
      <c r="J60" s="32">
        <v>1.1751599999999999E-11</v>
      </c>
      <c r="K60" s="41">
        <f t="shared" si="3"/>
        <v>220.32322171809966</v>
      </c>
      <c r="L60" s="42">
        <f t="shared" si="1"/>
        <v>6.3429537254501511</v>
      </c>
      <c r="M60" s="33">
        <v>-0.2</v>
      </c>
      <c r="N60" s="33">
        <v>-0.2</v>
      </c>
      <c r="O60" s="33">
        <v>1.1000000000000001</v>
      </c>
      <c r="P60" s="39">
        <f t="shared" si="2"/>
        <v>1.1000000000000001E-2</v>
      </c>
    </row>
    <row r="61" spans="1:16" x14ac:dyDescent="0.25">
      <c r="A61" s="7"/>
      <c r="B61" s="2" t="s">
        <v>6</v>
      </c>
      <c r="C61" s="3">
        <v>1954.06</v>
      </c>
      <c r="D61" s="4" t="s">
        <v>1</v>
      </c>
      <c r="E61" s="4">
        <v>1000000</v>
      </c>
      <c r="F61" s="5">
        <v>1.0000000000000002E-13</v>
      </c>
      <c r="G61" s="6">
        <v>13.975</v>
      </c>
      <c r="H61" s="29">
        <f t="shared" si="0"/>
        <v>13.975</v>
      </c>
      <c r="I61" s="39">
        <f t="shared" si="4"/>
        <v>0</v>
      </c>
      <c r="J61" s="32">
        <v>1.1936699999999999E-11</v>
      </c>
      <c r="K61" s="41">
        <f t="shared" si="3"/>
        <v>223.7935430649818</v>
      </c>
      <c r="L61" s="42">
        <f t="shared" si="1"/>
        <v>6.2445948210141839</v>
      </c>
      <c r="M61" s="33">
        <v>1.6</v>
      </c>
      <c r="N61" s="33">
        <v>1.4</v>
      </c>
      <c r="O61" s="33">
        <v>2.9</v>
      </c>
      <c r="P61" s="39">
        <f t="shared" si="2"/>
        <v>2.8999999999999998E-2</v>
      </c>
    </row>
    <row r="62" spans="1:16" x14ac:dyDescent="0.25">
      <c r="A62" s="7"/>
      <c r="B62" s="2" t="s">
        <v>7</v>
      </c>
      <c r="C62" s="3">
        <v>1954.07</v>
      </c>
      <c r="D62" s="4" t="s">
        <v>1</v>
      </c>
      <c r="E62" s="4">
        <v>1000000</v>
      </c>
      <c r="F62" s="5">
        <v>1.0000000000000002E-13</v>
      </c>
      <c r="G62" s="6">
        <v>13.975</v>
      </c>
      <c r="H62" s="29">
        <f t="shared" si="0"/>
        <v>13.975</v>
      </c>
      <c r="I62" s="39">
        <f t="shared" si="4"/>
        <v>0</v>
      </c>
      <c r="J62" s="32">
        <v>1.22027E-11</v>
      </c>
      <c r="K62" s="41">
        <f t="shared" si="3"/>
        <v>228.78060669691402</v>
      </c>
      <c r="L62" s="42">
        <f t="shared" si="1"/>
        <v>6.1084723053094807</v>
      </c>
      <c r="M62" s="33">
        <v>2.2000000000000002</v>
      </c>
      <c r="N62" s="33">
        <v>3.6</v>
      </c>
      <c r="O62" s="33">
        <v>4.4000000000000004</v>
      </c>
      <c r="P62" s="39">
        <f t="shared" si="2"/>
        <v>4.4000000000000004E-2</v>
      </c>
    </row>
    <row r="63" spans="1:16" x14ac:dyDescent="0.25">
      <c r="A63" s="7"/>
      <c r="B63" s="2" t="s">
        <v>8</v>
      </c>
      <c r="C63" s="3">
        <v>1954.08</v>
      </c>
      <c r="D63" s="4" t="s">
        <v>1</v>
      </c>
      <c r="E63" s="4">
        <v>1000000</v>
      </c>
      <c r="F63" s="5">
        <v>1.0000000000000002E-13</v>
      </c>
      <c r="G63" s="6">
        <v>13.975</v>
      </c>
      <c r="H63" s="29">
        <f t="shared" si="0"/>
        <v>13.975</v>
      </c>
      <c r="I63" s="39">
        <f t="shared" si="4"/>
        <v>0</v>
      </c>
      <c r="J63" s="32">
        <v>1.22889E-11</v>
      </c>
      <c r="K63" s="41">
        <f t="shared" si="3"/>
        <v>230.39671528741238</v>
      </c>
      <c r="L63" s="42">
        <f t="shared" si="1"/>
        <v>6.0656246694171152</v>
      </c>
      <c r="M63" s="33">
        <v>0.7</v>
      </c>
      <c r="N63" s="33">
        <v>4.4000000000000004</v>
      </c>
      <c r="O63" s="33">
        <v>5</v>
      </c>
      <c r="P63" s="39">
        <f t="shared" si="2"/>
        <v>0.05</v>
      </c>
    </row>
    <row r="64" spans="1:16" x14ac:dyDescent="0.25">
      <c r="A64" s="7"/>
      <c r="B64" s="2" t="s">
        <v>9</v>
      </c>
      <c r="C64" s="3">
        <v>1954.09</v>
      </c>
      <c r="D64" s="4" t="s">
        <v>1</v>
      </c>
      <c r="E64" s="4">
        <v>1000000</v>
      </c>
      <c r="F64" s="5">
        <v>1.0000000000000002E-13</v>
      </c>
      <c r="G64" s="6">
        <v>13.975</v>
      </c>
      <c r="H64" s="29">
        <f t="shared" si="0"/>
        <v>13.975</v>
      </c>
      <c r="I64" s="39">
        <f t="shared" si="4"/>
        <v>0</v>
      </c>
      <c r="J64" s="32">
        <v>1.2587599999999999E-11</v>
      </c>
      <c r="K64" s="41">
        <f t="shared" si="3"/>
        <v>235.99685027560088</v>
      </c>
      <c r="L64" s="42">
        <f t="shared" si="1"/>
        <v>5.9216892020718799</v>
      </c>
      <c r="M64" s="33">
        <v>2.4</v>
      </c>
      <c r="N64" s="33">
        <v>6.9</v>
      </c>
      <c r="O64" s="33">
        <v>8.3000000000000007</v>
      </c>
      <c r="P64" s="39">
        <f t="shared" si="2"/>
        <v>8.3000000000000004E-2</v>
      </c>
    </row>
    <row r="65" spans="1:16" x14ac:dyDescent="0.25">
      <c r="A65" s="7"/>
      <c r="B65" s="2" t="s">
        <v>10</v>
      </c>
      <c r="C65" s="3">
        <v>1954.1</v>
      </c>
      <c r="D65" s="4" t="s">
        <v>1</v>
      </c>
      <c r="E65" s="4">
        <v>1000000</v>
      </c>
      <c r="F65" s="5">
        <v>1.0000000000000002E-13</v>
      </c>
      <c r="G65" s="6">
        <v>13.975199999999999</v>
      </c>
      <c r="H65" s="29">
        <f t="shared" si="0"/>
        <v>13.975199999999999</v>
      </c>
      <c r="I65" s="39">
        <f t="shared" si="4"/>
        <v>1.4311270125189068E-5</v>
      </c>
      <c r="J65" s="32">
        <v>1.2952000000000001E-11</v>
      </c>
      <c r="K65" s="41">
        <f t="shared" si="3"/>
        <v>242.82875248415766</v>
      </c>
      <c r="L65" s="42">
        <f t="shared" si="1"/>
        <v>5.7551669054972194</v>
      </c>
      <c r="M65" s="33">
        <v>2.9</v>
      </c>
      <c r="N65" s="33">
        <v>10</v>
      </c>
      <c r="O65" s="33">
        <v>11.9</v>
      </c>
      <c r="P65" s="39">
        <f t="shared" si="2"/>
        <v>0.11900000000000001</v>
      </c>
    </row>
    <row r="66" spans="1:16" x14ac:dyDescent="0.25">
      <c r="A66" s="7"/>
      <c r="B66" s="2" t="s">
        <v>11</v>
      </c>
      <c r="C66" s="3">
        <v>1954.11</v>
      </c>
      <c r="D66" s="4" t="s">
        <v>1</v>
      </c>
      <c r="E66" s="4">
        <v>1000000</v>
      </c>
      <c r="F66" s="5">
        <v>1.0000000000000002E-13</v>
      </c>
      <c r="G66" s="6">
        <v>13.976000000000001</v>
      </c>
      <c r="H66" s="29">
        <f t="shared" si="0"/>
        <v>13.976000000000001</v>
      </c>
      <c r="I66" s="39">
        <f t="shared" si="4"/>
        <v>7.1556350626167387E-5</v>
      </c>
      <c r="J66" s="32">
        <v>1.3084700000000001E-11</v>
      </c>
      <c r="K66" s="41">
        <f t="shared" si="3"/>
        <v>245.31665979226821</v>
      </c>
      <c r="L66" s="42">
        <f t="shared" si="1"/>
        <v>5.6971263231101972</v>
      </c>
      <c r="M66" s="33">
        <v>1</v>
      </c>
      <c r="N66" s="33">
        <v>11.1</v>
      </c>
      <c r="O66" s="33">
        <v>12.3</v>
      </c>
      <c r="P66" s="39">
        <f t="shared" si="2"/>
        <v>0.12300000000000001</v>
      </c>
    </row>
    <row r="67" spans="1:16" x14ac:dyDescent="0.25">
      <c r="A67" s="7"/>
      <c r="B67" s="2" t="s">
        <v>12</v>
      </c>
      <c r="C67" s="3">
        <v>1954.12</v>
      </c>
      <c r="D67" s="4" t="s">
        <v>1</v>
      </c>
      <c r="E67" s="4">
        <v>1000000</v>
      </c>
      <c r="F67" s="5">
        <v>1.0000000000000002E-13</v>
      </c>
      <c r="G67" s="6">
        <v>13.975</v>
      </c>
      <c r="H67" s="29">
        <f t="shared" si="0"/>
        <v>13.975</v>
      </c>
      <c r="I67" s="39">
        <f t="shared" si="4"/>
        <v>0</v>
      </c>
      <c r="J67" s="32">
        <v>1.3661E-11</v>
      </c>
      <c r="K67" s="41">
        <f t="shared" si="3"/>
        <v>256.12133938280402</v>
      </c>
      <c r="L67" s="42">
        <f t="shared" si="1"/>
        <v>5.4563981406924817</v>
      </c>
      <c r="M67" s="33">
        <v>4.4000000000000004</v>
      </c>
      <c r="N67" s="33">
        <v>16</v>
      </c>
      <c r="O67" s="33">
        <v>16</v>
      </c>
      <c r="P67" s="39">
        <f t="shared" si="2"/>
        <v>0.16</v>
      </c>
    </row>
    <row r="68" spans="1:16" x14ac:dyDescent="0.25">
      <c r="A68" s="1">
        <v>1955.01</v>
      </c>
      <c r="B68" s="2" t="s">
        <v>0</v>
      </c>
      <c r="C68" s="3">
        <v>1955.01</v>
      </c>
      <c r="D68" s="4" t="s">
        <v>1</v>
      </c>
      <c r="E68" s="4">
        <v>1000000</v>
      </c>
      <c r="F68" s="5">
        <v>1.0000000000000002E-13</v>
      </c>
      <c r="G68" s="6">
        <v>13.975</v>
      </c>
      <c r="H68" s="29">
        <f t="shared" si="0"/>
        <v>13.975</v>
      </c>
      <c r="I68" s="39">
        <f t="shared" si="4"/>
        <v>0</v>
      </c>
      <c r="J68" s="32">
        <v>1.33625E-11</v>
      </c>
      <c r="K68" s="41">
        <f t="shared" si="3"/>
        <v>250.5249540665192</v>
      </c>
      <c r="L68" s="42">
        <f t="shared" si="1"/>
        <v>5.5782866230121604</v>
      </c>
      <c r="M68" s="33">
        <v>-2.2000000000000002</v>
      </c>
      <c r="N68" s="33">
        <v>-2.2000000000000002</v>
      </c>
      <c r="O68" s="33">
        <v>15.8</v>
      </c>
      <c r="P68" s="39">
        <f t="shared" si="2"/>
        <v>0.158</v>
      </c>
    </row>
    <row r="69" spans="1:16" x14ac:dyDescent="0.25">
      <c r="A69" s="7"/>
      <c r="B69" s="2" t="s">
        <v>2</v>
      </c>
      <c r="C69" s="3">
        <v>1955.02</v>
      </c>
      <c r="D69" s="4" t="s">
        <v>1</v>
      </c>
      <c r="E69" s="4">
        <v>1000000</v>
      </c>
      <c r="F69" s="5">
        <v>1.0000000000000002E-13</v>
      </c>
      <c r="G69" s="6">
        <v>13.975</v>
      </c>
      <c r="H69" s="29">
        <f t="shared" si="0"/>
        <v>13.975</v>
      </c>
      <c r="I69" s="39">
        <f t="shared" si="4"/>
        <v>-8.5860248136171435E-5</v>
      </c>
      <c r="J69" s="32">
        <v>1.3380600000000001E-11</v>
      </c>
      <c r="K69" s="41">
        <f t="shared" si="3"/>
        <v>250.86429937380481</v>
      </c>
      <c r="L69" s="42">
        <f t="shared" si="1"/>
        <v>5.5707408486913881</v>
      </c>
      <c r="M69" s="33">
        <v>0.1</v>
      </c>
      <c r="N69" s="33">
        <v>-2.1</v>
      </c>
      <c r="O69" s="33">
        <v>16.2</v>
      </c>
      <c r="P69" s="39">
        <f t="shared" si="2"/>
        <v>0.16200000000000001</v>
      </c>
    </row>
    <row r="70" spans="1:16" x14ac:dyDescent="0.25">
      <c r="A70" s="7"/>
      <c r="B70" s="2" t="s">
        <v>3</v>
      </c>
      <c r="C70" s="3">
        <v>1955.03</v>
      </c>
      <c r="D70" s="4" t="s">
        <v>1</v>
      </c>
      <c r="E70" s="4">
        <v>1000000</v>
      </c>
      <c r="F70" s="5">
        <v>1.0000000000000002E-13</v>
      </c>
      <c r="G70" s="6">
        <v>13.975</v>
      </c>
      <c r="H70" s="29">
        <f t="shared" si="0"/>
        <v>13.975</v>
      </c>
      <c r="I70" s="39">
        <f t="shared" si="4"/>
        <v>0</v>
      </c>
      <c r="J70" s="32">
        <v>1.33993E-11</v>
      </c>
      <c r="K70" s="41">
        <f t="shared" si="3"/>
        <v>251.21489369680154</v>
      </c>
      <c r="L70" s="42">
        <f t="shared" si="1"/>
        <v>5.5629663489883798</v>
      </c>
      <c r="M70" s="33">
        <v>0.1</v>
      </c>
      <c r="N70" s="33">
        <v>-1.9</v>
      </c>
      <c r="O70" s="33">
        <v>16.2</v>
      </c>
      <c r="P70" s="39">
        <f t="shared" si="2"/>
        <v>0.16200000000000001</v>
      </c>
    </row>
    <row r="71" spans="1:16" x14ac:dyDescent="0.25">
      <c r="A71" s="7"/>
      <c r="B71" s="2" t="s">
        <v>4</v>
      </c>
      <c r="C71" s="3">
        <v>1955.04</v>
      </c>
      <c r="D71" s="4" t="s">
        <v>1</v>
      </c>
      <c r="E71" s="4">
        <v>1000000</v>
      </c>
      <c r="F71" s="5">
        <v>1.0000000000000002E-13</v>
      </c>
      <c r="G71" s="6">
        <v>13.975</v>
      </c>
      <c r="H71" s="29">
        <f t="shared" si="0"/>
        <v>13.975</v>
      </c>
      <c r="I71" s="39">
        <f t="shared" si="4"/>
        <v>0</v>
      </c>
      <c r="J71" s="32">
        <v>1.35923E-11</v>
      </c>
      <c r="K71" s="41">
        <f t="shared" si="3"/>
        <v>254.83332708388019</v>
      </c>
      <c r="L71" s="42">
        <f t="shared" si="1"/>
        <v>5.4839765896868071</v>
      </c>
      <c r="M71" s="33">
        <v>1.4</v>
      </c>
      <c r="N71" s="33">
        <v>-0.5</v>
      </c>
      <c r="O71" s="33">
        <v>15.4</v>
      </c>
      <c r="P71" s="39">
        <f t="shared" si="2"/>
        <v>0.154</v>
      </c>
    </row>
    <row r="72" spans="1:16" x14ac:dyDescent="0.25">
      <c r="A72" s="7"/>
      <c r="B72" s="2" t="s">
        <v>5</v>
      </c>
      <c r="C72" s="3">
        <v>1955.05</v>
      </c>
      <c r="D72" s="4" t="s">
        <v>1</v>
      </c>
      <c r="E72" s="4">
        <v>1000000</v>
      </c>
      <c r="F72" s="5">
        <v>1.0000000000000002E-13</v>
      </c>
      <c r="G72" s="6">
        <v>13.991099999999999</v>
      </c>
      <c r="H72" s="29">
        <f t="shared" si="0"/>
        <v>13.991099999999999</v>
      </c>
      <c r="I72" s="39">
        <f t="shared" si="4"/>
        <v>1.1520572450804956E-3</v>
      </c>
      <c r="J72" s="32">
        <v>1.36104E-11</v>
      </c>
      <c r="K72" s="41">
        <f t="shared" si="3"/>
        <v>255.1726723911658</v>
      </c>
      <c r="L72" s="42">
        <f t="shared" si="1"/>
        <v>5.4829930920472574</v>
      </c>
      <c r="M72" s="33">
        <v>0.1</v>
      </c>
      <c r="N72" s="33">
        <v>-0.4</v>
      </c>
      <c r="O72" s="33">
        <v>15.8</v>
      </c>
      <c r="P72" s="39">
        <f t="shared" si="2"/>
        <v>0.158</v>
      </c>
    </row>
    <row r="73" spans="1:16" x14ac:dyDescent="0.25">
      <c r="A73" s="7"/>
      <c r="B73" s="2" t="s">
        <v>6</v>
      </c>
      <c r="C73" s="3">
        <v>1955.06</v>
      </c>
      <c r="D73" s="4" t="s">
        <v>1</v>
      </c>
      <c r="E73" s="4">
        <v>1000000</v>
      </c>
      <c r="F73" s="5">
        <v>1.0000000000000002E-13</v>
      </c>
      <c r="G73" s="6">
        <v>13.976000000000001</v>
      </c>
      <c r="H73" s="29">
        <f t="shared" ref="H73:H136" si="5">+G73</f>
        <v>13.976000000000001</v>
      </c>
      <c r="I73" s="39">
        <f t="shared" si="4"/>
        <v>7.1556350626167387E-5</v>
      </c>
      <c r="J73" s="32">
        <v>1.3690899999999999E-11</v>
      </c>
      <c r="K73" s="41">
        <f t="shared" si="3"/>
        <v>256.68191533240838</v>
      </c>
      <c r="L73" s="42">
        <f t="shared" ref="L73:L136" si="6">+H73/K73*100</f>
        <v>5.4448713232877326</v>
      </c>
      <c r="M73" s="33">
        <v>0.6</v>
      </c>
      <c r="N73" s="33">
        <v>0.2</v>
      </c>
      <c r="O73" s="33">
        <v>14.7</v>
      </c>
      <c r="P73" s="39">
        <f t="shared" ref="P73:P136" si="7">+O73/100</f>
        <v>0.14699999999999999</v>
      </c>
    </row>
    <row r="74" spans="1:16" x14ac:dyDescent="0.25">
      <c r="A74" s="7"/>
      <c r="B74" s="2" t="s">
        <v>7</v>
      </c>
      <c r="C74" s="3">
        <v>1955.07</v>
      </c>
      <c r="D74" s="4" t="s">
        <v>1</v>
      </c>
      <c r="E74" s="4">
        <v>1000000</v>
      </c>
      <c r="F74" s="5">
        <v>1.0000000000000002E-13</v>
      </c>
      <c r="G74" s="6">
        <v>13.976699999999999</v>
      </c>
      <c r="H74" s="29">
        <f t="shared" si="5"/>
        <v>13.976699999999999</v>
      </c>
      <c r="I74" s="39">
        <f t="shared" si="4"/>
        <v>1.2164579606444015E-4</v>
      </c>
      <c r="J74" s="32">
        <v>1.3751200000000001E-11</v>
      </c>
      <c r="K74" s="41">
        <f t="shared" ref="K74:K137" si="8">+J74*$K$8/$J$8</f>
        <v>257.81244141137654</v>
      </c>
      <c r="L74" s="42">
        <f t="shared" si="6"/>
        <v>5.4212666865437189</v>
      </c>
      <c r="M74" s="33">
        <v>0.4</v>
      </c>
      <c r="N74" s="33">
        <v>0.7</v>
      </c>
      <c r="O74" s="33">
        <v>12.7</v>
      </c>
      <c r="P74" s="39">
        <f t="shared" si="7"/>
        <v>0.127</v>
      </c>
    </row>
    <row r="75" spans="1:16" x14ac:dyDescent="0.25">
      <c r="A75" s="7"/>
      <c r="B75" s="2" t="s">
        <v>8</v>
      </c>
      <c r="C75" s="3">
        <v>1955.08</v>
      </c>
      <c r="D75" s="4" t="s">
        <v>1</v>
      </c>
      <c r="E75" s="4">
        <v>1000000</v>
      </c>
      <c r="F75" s="5">
        <v>1.0000000000000002E-13</v>
      </c>
      <c r="G75" s="6">
        <v>13.9811</v>
      </c>
      <c r="H75" s="29">
        <f t="shared" si="5"/>
        <v>13.9811</v>
      </c>
      <c r="I75" s="39">
        <f t="shared" si="4"/>
        <v>4.3649373881926579E-4</v>
      </c>
      <c r="J75" s="32">
        <v>1.3798000000000001E-11</v>
      </c>
      <c r="K75" s="41">
        <f t="shared" si="8"/>
        <v>258.68986463684433</v>
      </c>
      <c r="L75" s="42">
        <f t="shared" si="6"/>
        <v>5.4045797347441642</v>
      </c>
      <c r="M75" s="33">
        <v>0.3</v>
      </c>
      <c r="N75" s="33">
        <v>1</v>
      </c>
      <c r="O75" s="33">
        <v>12.3</v>
      </c>
      <c r="P75" s="39">
        <f t="shared" si="7"/>
        <v>0.12300000000000001</v>
      </c>
    </row>
    <row r="76" spans="1:16" x14ac:dyDescent="0.25">
      <c r="A76" s="7"/>
      <c r="B76" s="2" t="s">
        <v>9</v>
      </c>
      <c r="C76" s="3">
        <v>1955.09</v>
      </c>
      <c r="D76" s="4" t="s">
        <v>1</v>
      </c>
      <c r="E76" s="4">
        <v>1000000</v>
      </c>
      <c r="F76" s="5">
        <v>1.0000000000000002E-13</v>
      </c>
      <c r="G76" s="6">
        <v>13.9762</v>
      </c>
      <c r="H76" s="29">
        <f t="shared" si="5"/>
        <v>13.9762</v>
      </c>
      <c r="I76" s="39">
        <f t="shared" si="4"/>
        <v>8.5867620751356455E-5</v>
      </c>
      <c r="J76" s="32">
        <v>1.38923E-11</v>
      </c>
      <c r="K76" s="41">
        <f t="shared" si="8"/>
        <v>260.45783493944282</v>
      </c>
      <c r="L76" s="42">
        <f t="shared" si="6"/>
        <v>5.3660125076481213</v>
      </c>
      <c r="M76" s="33">
        <v>0.7</v>
      </c>
      <c r="N76" s="33">
        <v>1.7</v>
      </c>
      <c r="O76" s="33">
        <v>10.4</v>
      </c>
      <c r="P76" s="39">
        <f t="shared" si="7"/>
        <v>0.10400000000000001</v>
      </c>
    </row>
    <row r="77" spans="1:16" x14ac:dyDescent="0.25">
      <c r="A77" s="7"/>
      <c r="B77" s="2" t="s">
        <v>10</v>
      </c>
      <c r="C77" s="3">
        <v>1955.1</v>
      </c>
      <c r="D77" s="4" t="s">
        <v>1</v>
      </c>
      <c r="E77" s="4">
        <v>1000000</v>
      </c>
      <c r="F77" s="5">
        <v>1.0000000000000002E-13</v>
      </c>
      <c r="G77" s="6">
        <v>13.9819</v>
      </c>
      <c r="H77" s="29">
        <f t="shared" si="5"/>
        <v>13.9819</v>
      </c>
      <c r="I77" s="39">
        <f t="shared" si="4"/>
        <v>4.7942068807604876E-4</v>
      </c>
      <c r="J77" s="32">
        <v>1.38804E-11</v>
      </c>
      <c r="K77" s="41">
        <f t="shared" si="8"/>
        <v>260.23472946117215</v>
      </c>
      <c r="L77" s="42">
        <f t="shared" si="6"/>
        <v>5.3728032491859024</v>
      </c>
      <c r="M77" s="33">
        <v>-0.1</v>
      </c>
      <c r="N77" s="33">
        <v>1.6</v>
      </c>
      <c r="O77" s="33">
        <v>7.2</v>
      </c>
      <c r="P77" s="39">
        <f t="shared" si="7"/>
        <v>7.2000000000000008E-2</v>
      </c>
    </row>
    <row r="78" spans="1:16" x14ac:dyDescent="0.25">
      <c r="A78" s="7"/>
      <c r="B78" s="2" t="s">
        <v>11</v>
      </c>
      <c r="C78" s="3">
        <v>1955.11</v>
      </c>
      <c r="D78" s="4" t="s">
        <v>1</v>
      </c>
      <c r="E78" s="4">
        <v>1000000</v>
      </c>
      <c r="F78" s="5">
        <v>1.0000000000000002E-13</v>
      </c>
      <c r="G78" s="6">
        <v>32.61</v>
      </c>
      <c r="H78" s="29">
        <f t="shared" si="5"/>
        <v>32.61</v>
      </c>
      <c r="I78" s="39">
        <f t="shared" si="4"/>
        <v>1.333285632512879</v>
      </c>
      <c r="J78" s="32">
        <v>1.38867E-11</v>
      </c>
      <c r="K78" s="41">
        <f t="shared" si="8"/>
        <v>260.35284412613896</v>
      </c>
      <c r="L78" s="42">
        <f t="shared" si="6"/>
        <v>12.525309684806327</v>
      </c>
      <c r="M78" s="33">
        <v>0</v>
      </c>
      <c r="N78" s="33">
        <v>1.7</v>
      </c>
      <c r="O78" s="33">
        <v>6.1</v>
      </c>
      <c r="P78" s="39">
        <f t="shared" si="7"/>
        <v>6.0999999999999999E-2</v>
      </c>
    </row>
    <row r="79" spans="1:16" x14ac:dyDescent="0.25">
      <c r="A79" s="7"/>
      <c r="B79" s="2" t="s">
        <v>12</v>
      </c>
      <c r="C79" s="3">
        <v>1955.12</v>
      </c>
      <c r="D79" s="4" t="s">
        <v>1</v>
      </c>
      <c r="E79" s="4">
        <v>1000000</v>
      </c>
      <c r="F79" s="5">
        <v>1.0000000000000002E-13</v>
      </c>
      <c r="G79" s="6">
        <v>35.89</v>
      </c>
      <c r="H79" s="29">
        <f t="shared" si="5"/>
        <v>35.89</v>
      </c>
      <c r="I79" s="39">
        <f t="shared" si="4"/>
        <v>1.5681574239713774</v>
      </c>
      <c r="J79" s="32">
        <v>1.46818E-11</v>
      </c>
      <c r="K79" s="41">
        <f t="shared" si="8"/>
        <v>275.25966477933184</v>
      </c>
      <c r="L79" s="42">
        <f t="shared" si="6"/>
        <v>13.038597583402577</v>
      </c>
      <c r="M79" s="33">
        <v>5.7</v>
      </c>
      <c r="N79" s="33">
        <v>7.5</v>
      </c>
      <c r="O79" s="33">
        <v>7.5</v>
      </c>
      <c r="P79" s="39">
        <f t="shared" si="7"/>
        <v>7.4999999999999997E-2</v>
      </c>
    </row>
    <row r="80" spans="1:16" x14ac:dyDescent="0.25">
      <c r="A80" s="1">
        <v>1956.01</v>
      </c>
      <c r="B80" s="2" t="s">
        <v>0</v>
      </c>
      <c r="C80" s="3">
        <v>1956.01</v>
      </c>
      <c r="D80" s="4" t="s">
        <v>1</v>
      </c>
      <c r="E80" s="4">
        <v>1000000</v>
      </c>
      <c r="F80" s="5">
        <v>1.0000000000000002E-13</v>
      </c>
      <c r="G80" s="6">
        <v>39.53</v>
      </c>
      <c r="H80" s="29">
        <f t="shared" si="5"/>
        <v>39.53</v>
      </c>
      <c r="I80" s="39">
        <f t="shared" si="4"/>
        <v>1.8286225402504472</v>
      </c>
      <c r="J80" s="32">
        <v>1.44908E-11</v>
      </c>
      <c r="K80" s="41">
        <f t="shared" si="8"/>
        <v>271.67872811129024</v>
      </c>
      <c r="L80" s="42">
        <f t="shared" si="6"/>
        <v>14.550274242967953</v>
      </c>
      <c r="M80" s="33">
        <v>-1.3</v>
      </c>
      <c r="N80" s="33">
        <v>-1.3</v>
      </c>
      <c r="O80" s="33">
        <v>8.4</v>
      </c>
      <c r="P80" s="39">
        <f t="shared" si="7"/>
        <v>8.4000000000000005E-2</v>
      </c>
    </row>
    <row r="81" spans="1:16" x14ac:dyDescent="0.25">
      <c r="A81" s="7"/>
      <c r="B81" s="2" t="s">
        <v>2</v>
      </c>
      <c r="C81" s="3">
        <v>1956.02</v>
      </c>
      <c r="D81" s="4" t="s">
        <v>1</v>
      </c>
      <c r="E81" s="4">
        <v>1000000</v>
      </c>
      <c r="F81" s="5">
        <v>1.0000000000000002E-13</v>
      </c>
      <c r="G81" s="6">
        <v>42.61</v>
      </c>
      <c r="H81" s="29">
        <f t="shared" si="5"/>
        <v>42.61</v>
      </c>
      <c r="I81" s="39">
        <f t="shared" si="4"/>
        <v>2.0490161001788909</v>
      </c>
      <c r="J81" s="32">
        <v>1.43796E-11</v>
      </c>
      <c r="K81" s="41">
        <f t="shared" si="8"/>
        <v>269.59391053282843</v>
      </c>
      <c r="L81" s="42">
        <f t="shared" si="6"/>
        <v>15.805253136387657</v>
      </c>
      <c r="M81" s="33">
        <v>-0.8</v>
      </c>
      <c r="N81" s="33">
        <v>-2.1</v>
      </c>
      <c r="O81" s="33">
        <v>7.5</v>
      </c>
      <c r="P81" s="39">
        <f t="shared" si="7"/>
        <v>7.4999999999999997E-2</v>
      </c>
    </row>
    <row r="82" spans="1:16" x14ac:dyDescent="0.25">
      <c r="A82" s="7"/>
      <c r="B82" s="2" t="s">
        <v>3</v>
      </c>
      <c r="C82" s="3">
        <v>1956.03</v>
      </c>
      <c r="D82" s="4" t="s">
        <v>1</v>
      </c>
      <c r="E82" s="4">
        <v>1000000</v>
      </c>
      <c r="F82" s="5">
        <v>1.0000000000000002E-13</v>
      </c>
      <c r="G82" s="6">
        <v>40.770000000000003</v>
      </c>
      <c r="H82" s="29">
        <f t="shared" si="5"/>
        <v>40.770000000000003</v>
      </c>
      <c r="I82" s="39">
        <f t="shared" si="4"/>
        <v>1.917352415026834</v>
      </c>
      <c r="J82" s="32">
        <v>1.4357500000000001E-11</v>
      </c>
      <c r="K82" s="41">
        <f t="shared" si="8"/>
        <v>269.17957178746866</v>
      </c>
      <c r="L82" s="42">
        <f t="shared" si="6"/>
        <v>15.146023054152879</v>
      </c>
      <c r="M82" s="33">
        <v>-0.2</v>
      </c>
      <c r="N82" s="33">
        <v>-2.2000000000000002</v>
      </c>
      <c r="O82" s="33">
        <v>7.2</v>
      </c>
      <c r="P82" s="39">
        <f t="shared" si="7"/>
        <v>7.2000000000000008E-2</v>
      </c>
    </row>
    <row r="83" spans="1:16" x14ac:dyDescent="0.25">
      <c r="A83" s="7"/>
      <c r="B83" s="2" t="s">
        <v>4</v>
      </c>
      <c r="C83" s="3">
        <v>1956.04</v>
      </c>
      <c r="D83" s="4" t="s">
        <v>1</v>
      </c>
      <c r="E83" s="4">
        <v>1000000</v>
      </c>
      <c r="F83" s="5">
        <v>1.0000000000000002E-13</v>
      </c>
      <c r="G83" s="6">
        <v>39.49</v>
      </c>
      <c r="H83" s="29">
        <f t="shared" si="5"/>
        <v>39.49</v>
      </c>
      <c r="I83" s="39">
        <f t="shared" si="4"/>
        <v>1.8257602862254028</v>
      </c>
      <c r="J83" s="32">
        <v>1.48632E-11</v>
      </c>
      <c r="K83" s="41">
        <f t="shared" si="8"/>
        <v>278.66061719599531</v>
      </c>
      <c r="L83" s="42">
        <f t="shared" si="6"/>
        <v>14.171360272350505</v>
      </c>
      <c r="M83" s="33">
        <v>3.5</v>
      </c>
      <c r="N83" s="33">
        <v>1.2</v>
      </c>
      <c r="O83" s="33">
        <v>9.4</v>
      </c>
      <c r="P83" s="39">
        <f t="shared" si="7"/>
        <v>9.4E-2</v>
      </c>
    </row>
    <row r="84" spans="1:16" x14ac:dyDescent="0.25">
      <c r="A84" s="7"/>
      <c r="B84" s="2" t="s">
        <v>5</v>
      </c>
      <c r="C84" s="3">
        <v>1956.05</v>
      </c>
      <c r="D84" s="4" t="s">
        <v>1</v>
      </c>
      <c r="E84" s="4">
        <v>1000000</v>
      </c>
      <c r="F84" s="5">
        <v>1.0000000000000002E-13</v>
      </c>
      <c r="G84" s="6">
        <v>37.24</v>
      </c>
      <c r="H84" s="29">
        <f t="shared" si="5"/>
        <v>37.24</v>
      </c>
      <c r="I84" s="39">
        <f t="shared" si="4"/>
        <v>1.6616920756766804</v>
      </c>
      <c r="J84" s="32">
        <v>1.54333E-11</v>
      </c>
      <c r="K84" s="41">
        <f t="shared" si="8"/>
        <v>289.34905695751627</v>
      </c>
      <c r="L84" s="42">
        <f t="shared" si="6"/>
        <v>12.870268315914288</v>
      </c>
      <c r="M84" s="33">
        <v>3.8</v>
      </c>
      <c r="N84" s="33">
        <v>5.0999999999999996</v>
      </c>
      <c r="O84" s="33">
        <v>13.4</v>
      </c>
      <c r="P84" s="39">
        <f t="shared" si="7"/>
        <v>0.13400000000000001</v>
      </c>
    </row>
    <row r="85" spans="1:16" x14ac:dyDescent="0.25">
      <c r="A85" s="7"/>
      <c r="B85" s="2" t="s">
        <v>6</v>
      </c>
      <c r="C85" s="3">
        <v>1956.06</v>
      </c>
      <c r="D85" s="4" t="s">
        <v>1</v>
      </c>
      <c r="E85" s="4">
        <v>1000000</v>
      </c>
      <c r="F85" s="5">
        <v>1.0000000000000002E-13</v>
      </c>
      <c r="G85" s="6">
        <v>33.81</v>
      </c>
      <c r="H85" s="29">
        <f t="shared" si="5"/>
        <v>33.81</v>
      </c>
      <c r="I85" s="39">
        <f t="shared" ref="I85:I148" si="9">+H85/H73-1</f>
        <v>1.4191471093302805</v>
      </c>
      <c r="J85" s="32">
        <v>1.60318E-11</v>
      </c>
      <c r="K85" s="41">
        <f t="shared" si="8"/>
        <v>300.56995012936369</v>
      </c>
      <c r="L85" s="42">
        <f t="shared" si="6"/>
        <v>11.248629473920584</v>
      </c>
      <c r="M85" s="33">
        <v>3.9</v>
      </c>
      <c r="N85" s="33">
        <v>9.1999999999999993</v>
      </c>
      <c r="O85" s="33">
        <v>17.100000000000001</v>
      </c>
      <c r="P85" s="39">
        <f t="shared" si="7"/>
        <v>0.17100000000000001</v>
      </c>
    </row>
    <row r="86" spans="1:16" x14ac:dyDescent="0.25">
      <c r="A86" s="7"/>
      <c r="B86" s="2" t="s">
        <v>7</v>
      </c>
      <c r="C86" s="3">
        <v>1956.07</v>
      </c>
      <c r="D86" s="4" t="s">
        <v>1</v>
      </c>
      <c r="E86" s="4">
        <v>1000000</v>
      </c>
      <c r="F86" s="5">
        <v>1.0000000000000002E-13</v>
      </c>
      <c r="G86" s="6">
        <v>31.93</v>
      </c>
      <c r="H86" s="29">
        <f t="shared" si="5"/>
        <v>31.93</v>
      </c>
      <c r="I86" s="39">
        <f t="shared" si="9"/>
        <v>1.2845163736790517</v>
      </c>
      <c r="J86" s="32">
        <v>1.5949000000000002E-11</v>
      </c>
      <c r="K86" s="41">
        <f t="shared" si="8"/>
        <v>299.01758596122846</v>
      </c>
      <c r="L86" s="42">
        <f t="shared" si="6"/>
        <v>10.678301711706061</v>
      </c>
      <c r="M86" s="33">
        <v>-0.5</v>
      </c>
      <c r="N86" s="33">
        <v>8.6</v>
      </c>
      <c r="O86" s="33">
        <v>16</v>
      </c>
      <c r="P86" s="39">
        <f t="shared" si="7"/>
        <v>0.16</v>
      </c>
    </row>
    <row r="87" spans="1:16" x14ac:dyDescent="0.25">
      <c r="A87" s="7"/>
      <c r="B87" s="2" t="s">
        <v>8</v>
      </c>
      <c r="C87" s="3">
        <v>1956.08</v>
      </c>
      <c r="D87" s="4" t="s">
        <v>1</v>
      </c>
      <c r="E87" s="4">
        <v>1000000</v>
      </c>
      <c r="F87" s="5">
        <v>1.0000000000000002E-13</v>
      </c>
      <c r="G87" s="6">
        <v>30.65</v>
      </c>
      <c r="H87" s="29">
        <f t="shared" si="5"/>
        <v>30.65</v>
      </c>
      <c r="I87" s="39">
        <f t="shared" si="9"/>
        <v>1.1922452453669594</v>
      </c>
      <c r="J87" s="32">
        <v>1.58729E-11</v>
      </c>
      <c r="K87" s="41">
        <f t="shared" si="8"/>
        <v>297.59083580186734</v>
      </c>
      <c r="L87" s="42">
        <f t="shared" si="6"/>
        <v>10.299376295446956</v>
      </c>
      <c r="M87" s="33">
        <v>-0.5</v>
      </c>
      <c r="N87" s="33">
        <v>8.1</v>
      </c>
      <c r="O87" s="33">
        <v>15</v>
      </c>
      <c r="P87" s="39">
        <f t="shared" si="7"/>
        <v>0.15</v>
      </c>
    </row>
    <row r="88" spans="1:16" x14ac:dyDescent="0.25">
      <c r="A88" s="7"/>
      <c r="B88" s="2" t="s">
        <v>9</v>
      </c>
      <c r="C88" s="3">
        <v>1956.09</v>
      </c>
      <c r="D88" s="4" t="s">
        <v>1</v>
      </c>
      <c r="E88" s="4">
        <v>1000000</v>
      </c>
      <c r="F88" s="5">
        <v>1.0000000000000002E-13</v>
      </c>
      <c r="G88" s="6">
        <v>31.49</v>
      </c>
      <c r="H88" s="29">
        <f t="shared" si="5"/>
        <v>31.49</v>
      </c>
      <c r="I88" s="39">
        <f t="shared" si="9"/>
        <v>1.2531160115052731</v>
      </c>
      <c r="J88" s="32">
        <v>1.5960900000000002E-11</v>
      </c>
      <c r="K88" s="41">
        <f t="shared" si="8"/>
        <v>299.24069143949907</v>
      </c>
      <c r="L88" s="42">
        <f t="shared" si="6"/>
        <v>10.523301442901088</v>
      </c>
      <c r="M88" s="33">
        <v>0.6</v>
      </c>
      <c r="N88" s="33">
        <v>8.6999999999999993</v>
      </c>
      <c r="O88" s="33">
        <v>14.9</v>
      </c>
      <c r="P88" s="39">
        <f t="shared" si="7"/>
        <v>0.14899999999999999</v>
      </c>
    </row>
    <row r="89" spans="1:16" x14ac:dyDescent="0.25">
      <c r="A89" s="7"/>
      <c r="B89" s="2" t="s">
        <v>10</v>
      </c>
      <c r="C89" s="3">
        <v>1956.1</v>
      </c>
      <c r="D89" s="4" t="s">
        <v>1</v>
      </c>
      <c r="E89" s="4">
        <v>1000000</v>
      </c>
      <c r="F89" s="5">
        <v>1.0000000000000002E-13</v>
      </c>
      <c r="G89" s="6">
        <v>31.73</v>
      </c>
      <c r="H89" s="29">
        <f t="shared" si="5"/>
        <v>31.73</v>
      </c>
      <c r="I89" s="39">
        <f t="shared" si="9"/>
        <v>1.2693625329890788</v>
      </c>
      <c r="J89" s="32">
        <v>1.6164399999999999E-11</v>
      </c>
      <c r="K89" s="41">
        <f t="shared" si="8"/>
        <v>303.05598260152237</v>
      </c>
      <c r="L89" s="42">
        <f t="shared" si="6"/>
        <v>10.470012744054836</v>
      </c>
      <c r="M89" s="33">
        <v>1.3</v>
      </c>
      <c r="N89" s="33">
        <v>10.1</v>
      </c>
      <c r="O89" s="33">
        <v>16.5</v>
      </c>
      <c r="P89" s="39">
        <f t="shared" si="7"/>
        <v>0.16500000000000001</v>
      </c>
    </row>
    <row r="90" spans="1:16" x14ac:dyDescent="0.25">
      <c r="A90" s="7"/>
      <c r="B90" s="2" t="s">
        <v>11</v>
      </c>
      <c r="C90" s="3">
        <v>1956.11</v>
      </c>
      <c r="D90" s="4" t="s">
        <v>1</v>
      </c>
      <c r="E90" s="4">
        <v>1000000</v>
      </c>
      <c r="F90" s="5">
        <v>1.0000000000000002E-13</v>
      </c>
      <c r="G90" s="6">
        <v>34.18</v>
      </c>
      <c r="H90" s="29">
        <f t="shared" si="5"/>
        <v>34.18</v>
      </c>
      <c r="I90" s="39">
        <f t="shared" si="9"/>
        <v>4.8144740877031689E-2</v>
      </c>
      <c r="J90" s="32">
        <v>1.6414500000000001E-11</v>
      </c>
      <c r="K90" s="41">
        <f t="shared" si="8"/>
        <v>307.74494731710979</v>
      </c>
      <c r="L90" s="42">
        <f t="shared" si="6"/>
        <v>11.10659989643303</v>
      </c>
      <c r="M90" s="33">
        <v>1.5</v>
      </c>
      <c r="N90" s="33">
        <v>11.8</v>
      </c>
      <c r="O90" s="33">
        <v>18.2</v>
      </c>
      <c r="P90" s="39">
        <f t="shared" si="7"/>
        <v>0.182</v>
      </c>
    </row>
    <row r="91" spans="1:16" x14ac:dyDescent="0.25">
      <c r="A91" s="7"/>
      <c r="B91" s="2" t="s">
        <v>12</v>
      </c>
      <c r="C91" s="3">
        <v>1956.12</v>
      </c>
      <c r="D91" s="4" t="s">
        <v>1</v>
      </c>
      <c r="E91" s="4">
        <v>1000000</v>
      </c>
      <c r="F91" s="5">
        <v>1.0000000000000002E-13</v>
      </c>
      <c r="G91" s="6">
        <v>35.86</v>
      </c>
      <c r="H91" s="29">
        <f t="shared" si="5"/>
        <v>35.86</v>
      </c>
      <c r="I91" s="39">
        <f t="shared" si="9"/>
        <v>-8.3588743382556618E-4</v>
      </c>
      <c r="J91" s="32">
        <v>1.7129700000000001E-11</v>
      </c>
      <c r="K91" s="41">
        <f t="shared" si="8"/>
        <v>321.15377404477113</v>
      </c>
      <c r="L91" s="42">
        <f t="shared" si="6"/>
        <v>11.165990531065924</v>
      </c>
      <c r="M91" s="33">
        <v>4.4000000000000004</v>
      </c>
      <c r="N91" s="33">
        <v>16.7</v>
      </c>
      <c r="O91" s="33">
        <v>16.7</v>
      </c>
      <c r="P91" s="39">
        <f t="shared" si="7"/>
        <v>0.16699999999999998</v>
      </c>
    </row>
    <row r="92" spans="1:16" x14ac:dyDescent="0.25">
      <c r="A92" s="1">
        <v>1957.01</v>
      </c>
      <c r="B92" s="2" t="s">
        <v>13</v>
      </c>
      <c r="C92" s="3">
        <v>1957.01</v>
      </c>
      <c r="D92" s="4" t="s">
        <v>1</v>
      </c>
      <c r="E92" s="4">
        <v>1000000</v>
      </c>
      <c r="F92" s="5">
        <v>1.0000000000000002E-13</v>
      </c>
      <c r="G92" s="6">
        <v>37.979999999999997</v>
      </c>
      <c r="H92" s="29">
        <f t="shared" si="5"/>
        <v>37.979999999999997</v>
      </c>
      <c r="I92" s="39">
        <f t="shared" si="9"/>
        <v>-3.921072603086273E-2</v>
      </c>
      <c r="J92" s="32">
        <v>1.6939899999999999E-11</v>
      </c>
      <c r="K92" s="41">
        <f t="shared" si="8"/>
        <v>317.59533540815175</v>
      </c>
      <c r="L92" s="42">
        <f t="shared" si="6"/>
        <v>11.958613923340753</v>
      </c>
      <c r="M92" s="33">
        <v>-1.1000000000000001</v>
      </c>
      <c r="N92" s="33">
        <v>-1.1000000000000001</v>
      </c>
      <c r="O92" s="33">
        <v>16.899999999999999</v>
      </c>
      <c r="P92" s="39">
        <f t="shared" si="7"/>
        <v>0.16899999999999998</v>
      </c>
    </row>
    <row r="93" spans="1:16" x14ac:dyDescent="0.25">
      <c r="A93" s="7"/>
      <c r="B93" s="2" t="s">
        <v>2</v>
      </c>
      <c r="C93" s="3">
        <v>1957.02</v>
      </c>
      <c r="D93" s="4" t="s">
        <v>1</v>
      </c>
      <c r="E93" s="4">
        <v>1000000</v>
      </c>
      <c r="F93" s="5">
        <v>1.0000000000000002E-13</v>
      </c>
      <c r="G93" s="6">
        <v>37.32</v>
      </c>
      <c r="H93" s="29">
        <f t="shared" si="5"/>
        <v>37.32</v>
      </c>
      <c r="I93" s="39">
        <f t="shared" si="9"/>
        <v>-0.12414926073691623</v>
      </c>
      <c r="J93" s="32">
        <v>1.7069199999999999E-11</v>
      </c>
      <c r="K93" s="41">
        <f t="shared" si="8"/>
        <v>320.01949829389929</v>
      </c>
      <c r="L93" s="42">
        <f t="shared" si="6"/>
        <v>11.661789421882689</v>
      </c>
      <c r="M93" s="33">
        <v>0.8</v>
      </c>
      <c r="N93" s="33">
        <v>-0.4</v>
      </c>
      <c r="O93" s="33">
        <v>18.7</v>
      </c>
      <c r="P93" s="39">
        <f t="shared" si="7"/>
        <v>0.187</v>
      </c>
    </row>
    <row r="94" spans="1:16" x14ac:dyDescent="0.25">
      <c r="A94" s="7"/>
      <c r="B94" s="2" t="s">
        <v>3</v>
      </c>
      <c r="C94" s="3">
        <v>1957.03</v>
      </c>
      <c r="D94" s="4" t="s">
        <v>1</v>
      </c>
      <c r="E94" s="4">
        <v>1000000</v>
      </c>
      <c r="F94" s="5">
        <v>1.0000000000000002E-13</v>
      </c>
      <c r="G94" s="6">
        <v>39.380000000000003</v>
      </c>
      <c r="H94" s="29">
        <f t="shared" si="5"/>
        <v>39.380000000000003</v>
      </c>
      <c r="I94" s="39">
        <f t="shared" si="9"/>
        <v>-3.4093696345351976E-2</v>
      </c>
      <c r="J94" s="32">
        <v>1.76914E-11</v>
      </c>
      <c r="K94" s="41">
        <f t="shared" si="8"/>
        <v>331.68472758633618</v>
      </c>
      <c r="L94" s="42">
        <f t="shared" si="6"/>
        <v>11.872720304780856</v>
      </c>
      <c r="M94" s="33">
        <v>3.6</v>
      </c>
      <c r="N94" s="33">
        <v>3.3</v>
      </c>
      <c r="O94" s="33">
        <v>23.2</v>
      </c>
      <c r="P94" s="39">
        <f t="shared" si="7"/>
        <v>0.23199999999999998</v>
      </c>
    </row>
    <row r="95" spans="1:16" x14ac:dyDescent="0.25">
      <c r="A95" s="7"/>
      <c r="B95" s="2" t="s">
        <v>4</v>
      </c>
      <c r="C95" s="3">
        <v>1957.04</v>
      </c>
      <c r="D95" s="4" t="s">
        <v>1</v>
      </c>
      <c r="E95" s="4">
        <v>1000000</v>
      </c>
      <c r="F95" s="5">
        <v>1.0000000000000002E-13</v>
      </c>
      <c r="G95" s="6">
        <v>40.729999999999997</v>
      </c>
      <c r="H95" s="29">
        <f t="shared" si="5"/>
        <v>40.729999999999997</v>
      </c>
      <c r="I95" s="39">
        <f t="shared" si="9"/>
        <v>3.1400354520131568E-2</v>
      </c>
      <c r="J95" s="32">
        <v>1.8164999999999999E-11</v>
      </c>
      <c r="K95" s="41">
        <f t="shared" si="8"/>
        <v>340.56395065431775</v>
      </c>
      <c r="L95" s="42">
        <f t="shared" si="6"/>
        <v>11.959574676575832</v>
      </c>
      <c r="M95" s="33">
        <v>2.7</v>
      </c>
      <c r="N95" s="33">
        <v>6</v>
      </c>
      <c r="O95" s="33">
        <v>22.2</v>
      </c>
      <c r="P95" s="39">
        <f t="shared" si="7"/>
        <v>0.222</v>
      </c>
    </row>
    <row r="96" spans="1:16" x14ac:dyDescent="0.25">
      <c r="A96" s="7"/>
      <c r="B96" s="2" t="s">
        <v>5</v>
      </c>
      <c r="C96" s="3">
        <v>1957.05</v>
      </c>
      <c r="D96" s="4" t="s">
        <v>1</v>
      </c>
      <c r="E96" s="4">
        <v>1000000</v>
      </c>
      <c r="F96" s="5">
        <v>1.0000000000000002E-13</v>
      </c>
      <c r="G96" s="6">
        <v>39.380000000000003</v>
      </c>
      <c r="H96" s="29">
        <f t="shared" si="5"/>
        <v>39.380000000000003</v>
      </c>
      <c r="I96" s="39">
        <f t="shared" si="9"/>
        <v>5.7465091299677695E-2</v>
      </c>
      <c r="J96" s="32">
        <v>1.8673900000000001E-11</v>
      </c>
      <c r="K96" s="41">
        <f t="shared" si="8"/>
        <v>350.10499081330386</v>
      </c>
      <c r="L96" s="42">
        <f t="shared" si="6"/>
        <v>11.248054450329068</v>
      </c>
      <c r="M96" s="33">
        <v>2.8</v>
      </c>
      <c r="N96" s="33">
        <v>9</v>
      </c>
      <c r="O96" s="33">
        <v>21</v>
      </c>
      <c r="P96" s="39">
        <f t="shared" si="7"/>
        <v>0.21</v>
      </c>
    </row>
    <row r="97" spans="1:16" x14ac:dyDescent="0.25">
      <c r="A97" s="7"/>
      <c r="B97" s="2" t="s">
        <v>6</v>
      </c>
      <c r="C97" s="3">
        <v>1957.06</v>
      </c>
      <c r="D97" s="4" t="s">
        <v>1</v>
      </c>
      <c r="E97" s="4">
        <v>1000000</v>
      </c>
      <c r="F97" s="5">
        <v>1.0000000000000002E-13</v>
      </c>
      <c r="G97" s="6">
        <v>40.619999999999997</v>
      </c>
      <c r="H97" s="29">
        <f t="shared" si="5"/>
        <v>40.619999999999997</v>
      </c>
      <c r="I97" s="39">
        <f t="shared" si="9"/>
        <v>0.20141969831410811</v>
      </c>
      <c r="J97" s="32">
        <v>1.9391300000000001E-11</v>
      </c>
      <c r="K97" s="41">
        <f t="shared" si="8"/>
        <v>363.55506393190598</v>
      </c>
      <c r="L97" s="42">
        <f t="shared" si="6"/>
        <v>11.172997993945737</v>
      </c>
      <c r="M97" s="33">
        <v>3.8</v>
      </c>
      <c r="N97" s="33">
        <v>13.2</v>
      </c>
      <c r="O97" s="33">
        <v>21</v>
      </c>
      <c r="P97" s="39">
        <f t="shared" si="7"/>
        <v>0.21</v>
      </c>
    </row>
    <row r="98" spans="1:16" x14ac:dyDescent="0.25">
      <c r="A98" s="7"/>
      <c r="B98" s="2" t="s">
        <v>7</v>
      </c>
      <c r="C98" s="3">
        <v>1957.07</v>
      </c>
      <c r="D98" s="4" t="s">
        <v>1</v>
      </c>
      <c r="E98" s="4">
        <v>1000000</v>
      </c>
      <c r="F98" s="5">
        <v>1.0000000000000002E-13</v>
      </c>
      <c r="G98" s="6">
        <v>42.49</v>
      </c>
      <c r="H98" s="29">
        <f t="shared" si="5"/>
        <v>42.49</v>
      </c>
      <c r="I98" s="39">
        <f t="shared" si="9"/>
        <v>0.33072345756342014</v>
      </c>
      <c r="J98" s="32">
        <v>1.9748100000000001E-11</v>
      </c>
      <c r="K98" s="41">
        <f t="shared" si="8"/>
        <v>370.24447860812182</v>
      </c>
      <c r="L98" s="42">
        <f t="shared" si="6"/>
        <v>11.476200849701996</v>
      </c>
      <c r="M98" s="33">
        <v>1.8</v>
      </c>
      <c r="N98" s="33">
        <v>15.3</v>
      </c>
      <c r="O98" s="33">
        <v>23.8</v>
      </c>
      <c r="P98" s="39">
        <f t="shared" si="7"/>
        <v>0.23800000000000002</v>
      </c>
    </row>
    <row r="99" spans="1:16" x14ac:dyDescent="0.25">
      <c r="A99" s="7"/>
      <c r="B99" s="2" t="s">
        <v>8</v>
      </c>
      <c r="C99" s="3">
        <v>1957.08</v>
      </c>
      <c r="D99" s="4" t="s">
        <v>1</v>
      </c>
      <c r="E99" s="4">
        <v>1000000</v>
      </c>
      <c r="F99" s="5">
        <v>1.0000000000000002E-13</v>
      </c>
      <c r="G99" s="6">
        <v>43.66</v>
      </c>
      <c r="H99" s="29">
        <f t="shared" si="5"/>
        <v>43.66</v>
      </c>
      <c r="I99" s="39">
        <f t="shared" si="9"/>
        <v>0.42446982055464932</v>
      </c>
      <c r="J99" s="32">
        <v>2.08093E-11</v>
      </c>
      <c r="K99" s="41">
        <f t="shared" si="8"/>
        <v>390.14023772919876</v>
      </c>
      <c r="L99" s="42">
        <f t="shared" si="6"/>
        <v>11.190847745959736</v>
      </c>
      <c r="M99" s="33">
        <v>5.4</v>
      </c>
      <c r="N99" s="33">
        <v>21.5</v>
      </c>
      <c r="O99" s="33">
        <v>31.1</v>
      </c>
      <c r="P99" s="39">
        <f t="shared" si="7"/>
        <v>0.311</v>
      </c>
    </row>
    <row r="100" spans="1:16" x14ac:dyDescent="0.25">
      <c r="A100" s="7"/>
      <c r="B100" s="2" t="s">
        <v>9</v>
      </c>
      <c r="C100" s="3">
        <v>1957.09</v>
      </c>
      <c r="D100" s="4" t="s">
        <v>1</v>
      </c>
      <c r="E100" s="4">
        <v>1000000</v>
      </c>
      <c r="F100" s="5">
        <v>1.0000000000000002E-13</v>
      </c>
      <c r="G100" s="6">
        <v>45.09</v>
      </c>
      <c r="H100" s="29">
        <f t="shared" si="5"/>
        <v>45.09</v>
      </c>
      <c r="I100" s="39">
        <f t="shared" si="9"/>
        <v>0.43188313750396978</v>
      </c>
      <c r="J100" s="32">
        <v>2.0763399999999999E-11</v>
      </c>
      <c r="K100" s="41">
        <f t="shared" si="8"/>
        <v>389.2796880272976</v>
      </c>
      <c r="L100" s="42">
        <f t="shared" si="6"/>
        <v>11.582931600797558</v>
      </c>
      <c r="M100" s="33">
        <v>-0.2</v>
      </c>
      <c r="N100" s="33">
        <v>21.2</v>
      </c>
      <c r="O100" s="33">
        <v>30.1</v>
      </c>
      <c r="P100" s="39">
        <f t="shared" si="7"/>
        <v>0.30099999999999999</v>
      </c>
    </row>
    <row r="101" spans="1:16" x14ac:dyDescent="0.25">
      <c r="A101" s="7"/>
      <c r="B101" s="2" t="s">
        <v>10</v>
      </c>
      <c r="C101" s="3">
        <v>1957.1</v>
      </c>
      <c r="D101" s="4" t="s">
        <v>1</v>
      </c>
      <c r="E101" s="4">
        <v>1000000</v>
      </c>
      <c r="F101" s="5">
        <v>1.0000000000000002E-13</v>
      </c>
      <c r="G101" s="6">
        <v>40.14</v>
      </c>
      <c r="H101" s="29">
        <f t="shared" si="5"/>
        <v>40.14</v>
      </c>
      <c r="I101" s="39">
        <f t="shared" si="9"/>
        <v>0.26504884966908282</v>
      </c>
      <c r="J101" s="32">
        <v>2.0982799999999999E-11</v>
      </c>
      <c r="K101" s="41">
        <f t="shared" si="8"/>
        <v>393.39307810566578</v>
      </c>
      <c r="L101" s="42">
        <f t="shared" si="6"/>
        <v>10.203534895247536</v>
      </c>
      <c r="M101" s="33">
        <v>1.1000000000000001</v>
      </c>
      <c r="N101" s="33">
        <v>22.5</v>
      </c>
      <c r="O101" s="33">
        <v>29.8</v>
      </c>
      <c r="P101" s="39">
        <f t="shared" si="7"/>
        <v>0.29799999999999999</v>
      </c>
    </row>
    <row r="102" spans="1:16" x14ac:dyDescent="0.25">
      <c r="A102" s="7"/>
      <c r="B102" s="2" t="s">
        <v>11</v>
      </c>
      <c r="C102" s="3">
        <v>1957.11</v>
      </c>
      <c r="D102" s="4" t="s">
        <v>1</v>
      </c>
      <c r="E102" s="4">
        <v>1000000</v>
      </c>
      <c r="F102" s="5">
        <v>1.0000000000000002E-13</v>
      </c>
      <c r="G102" s="6">
        <v>38.479999999999997</v>
      </c>
      <c r="H102" s="29">
        <f t="shared" si="5"/>
        <v>38.479999999999997</v>
      </c>
      <c r="I102" s="39">
        <f t="shared" si="9"/>
        <v>0.12580456407255691</v>
      </c>
      <c r="J102" s="32">
        <v>2.1510800000000002E-11</v>
      </c>
      <c r="K102" s="41">
        <f t="shared" si="8"/>
        <v>403.29221193145599</v>
      </c>
      <c r="L102" s="42">
        <f t="shared" si="6"/>
        <v>9.5414686576045522</v>
      </c>
      <c r="M102" s="33">
        <v>2.5</v>
      </c>
      <c r="N102" s="33">
        <v>25.6</v>
      </c>
      <c r="O102" s="33">
        <v>31</v>
      </c>
      <c r="P102" s="39">
        <f t="shared" si="7"/>
        <v>0.31</v>
      </c>
    </row>
    <row r="103" spans="1:16" x14ac:dyDescent="0.25">
      <c r="A103" s="7"/>
      <c r="B103" s="2" t="s">
        <v>12</v>
      </c>
      <c r="C103" s="3">
        <v>1957.12</v>
      </c>
      <c r="D103" s="4" t="s">
        <v>1</v>
      </c>
      <c r="E103" s="4">
        <v>1000000</v>
      </c>
      <c r="F103" s="5">
        <v>1.0000000000000002E-13</v>
      </c>
      <c r="G103" s="6">
        <v>37.130000000000003</v>
      </c>
      <c r="H103" s="29">
        <f t="shared" si="5"/>
        <v>37.130000000000003</v>
      </c>
      <c r="I103" s="39">
        <f t="shared" si="9"/>
        <v>3.5415504740658132E-2</v>
      </c>
      <c r="J103" s="32">
        <v>2.1520399999999999E-11</v>
      </c>
      <c r="K103" s="41">
        <f t="shared" si="8"/>
        <v>403.47219618283401</v>
      </c>
      <c r="L103" s="42">
        <f t="shared" si="6"/>
        <v>9.2026167729224362</v>
      </c>
      <c r="M103" s="33">
        <v>0</v>
      </c>
      <c r="N103" s="33">
        <v>25.6</v>
      </c>
      <c r="O103" s="33">
        <v>25.6</v>
      </c>
      <c r="P103" s="39">
        <f t="shared" si="7"/>
        <v>0.25600000000000001</v>
      </c>
    </row>
    <row r="104" spans="1:16" x14ac:dyDescent="0.25">
      <c r="A104" s="1">
        <v>1958.01</v>
      </c>
      <c r="B104" s="2" t="s">
        <v>13</v>
      </c>
      <c r="C104" s="3">
        <v>1958.01</v>
      </c>
      <c r="D104" s="4" t="s">
        <v>1</v>
      </c>
      <c r="E104" s="4">
        <v>1000000</v>
      </c>
      <c r="F104" s="5">
        <v>1.0000000000000002E-13</v>
      </c>
      <c r="G104" s="6">
        <v>37.31</v>
      </c>
      <c r="H104" s="29">
        <f t="shared" si="5"/>
        <v>37.31</v>
      </c>
      <c r="I104" s="39">
        <f t="shared" si="9"/>
        <v>-1.7640863612427449E-2</v>
      </c>
      <c r="J104" s="32">
        <v>2.0950400000000001E-11</v>
      </c>
      <c r="K104" s="41">
        <f t="shared" si="8"/>
        <v>392.78563125726504</v>
      </c>
      <c r="L104" s="42">
        <f t="shared" si="6"/>
        <v>9.4988199747976161</v>
      </c>
      <c r="M104" s="33">
        <v>-2.6</v>
      </c>
      <c r="N104" s="33">
        <v>-2.6</v>
      </c>
      <c r="O104" s="33">
        <v>23.7</v>
      </c>
      <c r="P104" s="39">
        <f t="shared" si="7"/>
        <v>0.23699999999999999</v>
      </c>
    </row>
    <row r="105" spans="1:16" x14ac:dyDescent="0.25">
      <c r="A105" s="7"/>
      <c r="B105" s="2" t="s">
        <v>2</v>
      </c>
      <c r="C105" s="3">
        <v>1958.02</v>
      </c>
      <c r="D105" s="4" t="s">
        <v>1</v>
      </c>
      <c r="E105" s="4">
        <v>1000000</v>
      </c>
      <c r="F105" s="5">
        <v>1.0000000000000002E-13</v>
      </c>
      <c r="G105" s="6">
        <v>37.86</v>
      </c>
      <c r="H105" s="29">
        <f t="shared" si="5"/>
        <v>37.86</v>
      </c>
      <c r="I105" s="39">
        <f t="shared" si="9"/>
        <v>1.4469453376205754E-2</v>
      </c>
      <c r="J105" s="32">
        <v>2.1240400000000001E-11</v>
      </c>
      <c r="K105" s="41">
        <f t="shared" si="8"/>
        <v>398.22265551764224</v>
      </c>
      <c r="L105" s="42">
        <f t="shared" si="6"/>
        <v>9.507244119696427</v>
      </c>
      <c r="M105" s="33">
        <v>1.4</v>
      </c>
      <c r="N105" s="33">
        <v>-1.3</v>
      </c>
      <c r="O105" s="33">
        <v>24.4</v>
      </c>
      <c r="P105" s="39">
        <f t="shared" si="7"/>
        <v>0.24399999999999999</v>
      </c>
    </row>
    <row r="106" spans="1:16" x14ac:dyDescent="0.25">
      <c r="A106" s="7"/>
      <c r="B106" s="2" t="s">
        <v>3</v>
      </c>
      <c r="C106" s="3">
        <v>1958.03</v>
      </c>
      <c r="D106" s="4" t="s">
        <v>1</v>
      </c>
      <c r="E106" s="4">
        <v>1000000</v>
      </c>
      <c r="F106" s="5">
        <v>1.0000000000000002E-13</v>
      </c>
      <c r="G106" s="6">
        <v>38.71</v>
      </c>
      <c r="H106" s="29">
        <f t="shared" si="5"/>
        <v>38.71</v>
      </c>
      <c r="I106" s="39">
        <f t="shared" si="9"/>
        <v>-1.7013712544438842E-2</v>
      </c>
      <c r="J106" s="32">
        <v>2.1591300000000001E-11</v>
      </c>
      <c r="K106" s="41">
        <f t="shared" si="8"/>
        <v>404.80145487269868</v>
      </c>
      <c r="L106" s="42">
        <f t="shared" si="6"/>
        <v>9.5627126666759299</v>
      </c>
      <c r="M106" s="33">
        <v>1.7</v>
      </c>
      <c r="N106" s="33">
        <v>0.3</v>
      </c>
      <c r="O106" s="33">
        <v>22</v>
      </c>
      <c r="P106" s="39">
        <f t="shared" si="7"/>
        <v>0.22</v>
      </c>
    </row>
    <row r="107" spans="1:16" x14ac:dyDescent="0.25">
      <c r="A107" s="7"/>
      <c r="B107" s="2" t="s">
        <v>4</v>
      </c>
      <c r="C107" s="3">
        <v>1958.04</v>
      </c>
      <c r="D107" s="4" t="s">
        <v>1</v>
      </c>
      <c r="E107" s="4">
        <v>1000000</v>
      </c>
      <c r="F107" s="5">
        <v>1.0000000000000002E-13</v>
      </c>
      <c r="G107" s="6">
        <v>41.29</v>
      </c>
      <c r="H107" s="29">
        <f t="shared" si="5"/>
        <v>41.29</v>
      </c>
      <c r="I107" s="39">
        <f t="shared" si="9"/>
        <v>1.3749079302725287E-2</v>
      </c>
      <c r="J107" s="32">
        <v>2.25238E-11</v>
      </c>
      <c r="K107" s="41">
        <f t="shared" si="8"/>
        <v>422.28430012373917</v>
      </c>
      <c r="L107" s="42">
        <f t="shared" si="6"/>
        <v>9.777772933519211</v>
      </c>
      <c r="M107" s="33">
        <v>4.3</v>
      </c>
      <c r="N107" s="33">
        <v>4.7</v>
      </c>
      <c r="O107" s="33">
        <v>24</v>
      </c>
      <c r="P107" s="39">
        <f t="shared" si="7"/>
        <v>0.24</v>
      </c>
    </row>
    <row r="108" spans="1:16" x14ac:dyDescent="0.25">
      <c r="A108" s="7"/>
      <c r="B108" s="2" t="s">
        <v>5</v>
      </c>
      <c r="C108" s="3">
        <v>1958.05</v>
      </c>
      <c r="D108" s="4" t="s">
        <v>1</v>
      </c>
      <c r="E108" s="4">
        <v>1000000</v>
      </c>
      <c r="F108" s="5">
        <v>1.0000000000000002E-13</v>
      </c>
      <c r="G108" s="6">
        <v>42.2</v>
      </c>
      <c r="H108" s="29">
        <f t="shared" si="5"/>
        <v>42.2</v>
      </c>
      <c r="I108" s="39">
        <f t="shared" si="9"/>
        <v>7.1609954291518507E-2</v>
      </c>
      <c r="J108" s="32">
        <v>2.3977700000000001E-11</v>
      </c>
      <c r="K108" s="41">
        <f t="shared" si="8"/>
        <v>449.54254002774763</v>
      </c>
      <c r="L108" s="42">
        <f t="shared" si="6"/>
        <v>9.387320718834582</v>
      </c>
      <c r="M108" s="33">
        <v>6.5</v>
      </c>
      <c r="N108" s="33">
        <v>11.4</v>
      </c>
      <c r="O108" s="33">
        <v>28.4</v>
      </c>
      <c r="P108" s="39">
        <f t="shared" si="7"/>
        <v>0.28399999999999997</v>
      </c>
    </row>
    <row r="109" spans="1:16" x14ac:dyDescent="0.25">
      <c r="A109" s="7"/>
      <c r="B109" s="2" t="s">
        <v>6</v>
      </c>
      <c r="C109" s="3">
        <v>1958.06</v>
      </c>
      <c r="D109" s="4" t="s">
        <v>1</v>
      </c>
      <c r="E109" s="4">
        <v>1000000</v>
      </c>
      <c r="F109" s="5">
        <v>1.0000000000000002E-13</v>
      </c>
      <c r="G109" s="6">
        <v>42.12</v>
      </c>
      <c r="H109" s="29">
        <f t="shared" si="5"/>
        <v>42.12</v>
      </c>
      <c r="I109" s="39">
        <f t="shared" si="9"/>
        <v>3.692762186115206E-2</v>
      </c>
      <c r="J109" s="32">
        <v>2.5035399999999999E-11</v>
      </c>
      <c r="K109" s="41">
        <f t="shared" si="8"/>
        <v>469.37267989050957</v>
      </c>
      <c r="L109" s="42">
        <f t="shared" si="6"/>
        <v>8.9736795098141027</v>
      </c>
      <c r="M109" s="33">
        <v>4.4000000000000004</v>
      </c>
      <c r="N109" s="33">
        <v>16.3</v>
      </c>
      <c r="O109" s="33">
        <v>29.1</v>
      </c>
      <c r="P109" s="39">
        <f t="shared" si="7"/>
        <v>0.29100000000000004</v>
      </c>
    </row>
    <row r="110" spans="1:16" x14ac:dyDescent="0.25">
      <c r="A110" s="7"/>
      <c r="B110" s="2" t="s">
        <v>7</v>
      </c>
      <c r="C110" s="3">
        <v>1958.07</v>
      </c>
      <c r="D110" s="4" t="s">
        <v>1</v>
      </c>
      <c r="E110" s="4">
        <v>1000000</v>
      </c>
      <c r="F110" s="5">
        <v>1.0000000000000002E-13</v>
      </c>
      <c r="G110" s="6">
        <v>42.71</v>
      </c>
      <c r="H110" s="29">
        <f t="shared" si="5"/>
        <v>42.71</v>
      </c>
      <c r="I110" s="39">
        <f t="shared" si="9"/>
        <v>5.1776888679688771E-3</v>
      </c>
      <c r="J110" s="32">
        <v>2.59436E-11</v>
      </c>
      <c r="K110" s="41">
        <f t="shared" si="8"/>
        <v>486.39994000524956</v>
      </c>
      <c r="L110" s="42">
        <f t="shared" si="6"/>
        <v>8.780839898857522</v>
      </c>
      <c r="M110" s="33">
        <v>3.6</v>
      </c>
      <c r="N110" s="33">
        <v>20.6</v>
      </c>
      <c r="O110" s="33">
        <v>31.4</v>
      </c>
      <c r="P110" s="39">
        <f t="shared" si="7"/>
        <v>0.314</v>
      </c>
    </row>
    <row r="111" spans="1:16" x14ac:dyDescent="0.25">
      <c r="A111" s="7"/>
      <c r="B111" s="2" t="s">
        <v>8</v>
      </c>
      <c r="C111" s="3">
        <v>1958.08</v>
      </c>
      <c r="D111" s="4" t="s">
        <v>1</v>
      </c>
      <c r="E111" s="4">
        <v>1000000</v>
      </c>
      <c r="F111" s="5">
        <v>1.0000000000000002E-13</v>
      </c>
      <c r="G111" s="6">
        <v>45.16</v>
      </c>
      <c r="H111" s="29">
        <f t="shared" si="5"/>
        <v>45.16</v>
      </c>
      <c r="I111" s="39">
        <f t="shared" si="9"/>
        <v>3.4356390288593719E-2</v>
      </c>
      <c r="J111" s="32">
        <v>2.71487E-11</v>
      </c>
      <c r="K111" s="41">
        <f t="shared" si="8"/>
        <v>508.9935880610447</v>
      </c>
      <c r="L111" s="42">
        <f t="shared" si="6"/>
        <v>8.8724103916577945</v>
      </c>
      <c r="M111" s="33">
        <v>4.5999999999999996</v>
      </c>
      <c r="N111" s="33">
        <v>26.2</v>
      </c>
      <c r="O111" s="33">
        <v>30.5</v>
      </c>
      <c r="P111" s="39">
        <f t="shared" si="7"/>
        <v>0.30499999999999999</v>
      </c>
    </row>
    <row r="112" spans="1:16" x14ac:dyDescent="0.25">
      <c r="A112" s="7"/>
      <c r="B112" s="2" t="s">
        <v>9</v>
      </c>
      <c r="C112" s="3">
        <v>1958.09</v>
      </c>
      <c r="D112" s="4" t="s">
        <v>1</v>
      </c>
      <c r="E112" s="4">
        <v>1000000</v>
      </c>
      <c r="F112" s="5">
        <v>1.0000000000000002E-13</v>
      </c>
      <c r="G112" s="6">
        <v>49.56</v>
      </c>
      <c r="H112" s="29">
        <f t="shared" si="5"/>
        <v>49.56</v>
      </c>
      <c r="I112" s="39">
        <f t="shared" si="9"/>
        <v>9.9135063206919449E-2</v>
      </c>
      <c r="J112" s="32">
        <v>2.76678E-11</v>
      </c>
      <c r="K112" s="41">
        <f t="shared" si="8"/>
        <v>518.72586148711991</v>
      </c>
      <c r="L112" s="42">
        <f t="shared" si="6"/>
        <v>9.5541795155379177</v>
      </c>
      <c r="M112" s="33">
        <v>1.9</v>
      </c>
      <c r="N112" s="33">
        <v>28.6</v>
      </c>
      <c r="O112" s="33">
        <v>33.299999999999997</v>
      </c>
      <c r="P112" s="39">
        <f t="shared" si="7"/>
        <v>0.33299999999999996</v>
      </c>
    </row>
    <row r="113" spans="1:16" x14ac:dyDescent="0.25">
      <c r="A113" s="7"/>
      <c r="B113" s="2" t="s">
        <v>10</v>
      </c>
      <c r="C113" s="3">
        <v>1958.1</v>
      </c>
      <c r="D113" s="4" t="s">
        <v>1</v>
      </c>
      <c r="E113" s="4">
        <v>1000000</v>
      </c>
      <c r="F113" s="5">
        <v>1.0000000000000002E-13</v>
      </c>
      <c r="G113" s="6">
        <v>61.21</v>
      </c>
      <c r="H113" s="29">
        <f t="shared" si="5"/>
        <v>61.21</v>
      </c>
      <c r="I113" s="39">
        <f t="shared" si="9"/>
        <v>0.52491280518186345</v>
      </c>
      <c r="J113" s="32">
        <v>2.84901E-11</v>
      </c>
      <c r="K113" s="41">
        <f t="shared" si="8"/>
        <v>534.14263751921703</v>
      </c>
      <c r="L113" s="42">
        <f t="shared" si="6"/>
        <v>11.459485856490501</v>
      </c>
      <c r="M113" s="33">
        <v>3</v>
      </c>
      <c r="N113" s="33">
        <v>32.4</v>
      </c>
      <c r="O113" s="33">
        <v>35.799999999999997</v>
      </c>
      <c r="P113" s="39">
        <f t="shared" si="7"/>
        <v>0.35799999999999998</v>
      </c>
    </row>
    <row r="114" spans="1:16" x14ac:dyDescent="0.25">
      <c r="A114" s="7"/>
      <c r="B114" s="2" t="s">
        <v>11</v>
      </c>
      <c r="C114" s="3">
        <v>1958.11</v>
      </c>
      <c r="D114" s="4" t="s">
        <v>1</v>
      </c>
      <c r="E114" s="4">
        <v>1000000</v>
      </c>
      <c r="F114" s="5">
        <v>1.0000000000000002E-13</v>
      </c>
      <c r="G114" s="6">
        <v>71.77</v>
      </c>
      <c r="H114" s="29">
        <f t="shared" si="5"/>
        <v>71.77</v>
      </c>
      <c r="I114" s="39">
        <f t="shared" si="9"/>
        <v>0.86512474012474017</v>
      </c>
      <c r="J114" s="32">
        <v>2.9937799999999999E-11</v>
      </c>
      <c r="K114" s="41">
        <f t="shared" si="8"/>
        <v>561.28463759421049</v>
      </c>
      <c r="L114" s="42">
        <f t="shared" si="6"/>
        <v>12.786738704914857</v>
      </c>
      <c r="M114" s="33">
        <v>5.0999999999999996</v>
      </c>
      <c r="N114" s="33">
        <v>39.1</v>
      </c>
      <c r="O114" s="33">
        <v>39.200000000000003</v>
      </c>
      <c r="P114" s="39">
        <f t="shared" si="7"/>
        <v>0.39200000000000002</v>
      </c>
    </row>
    <row r="115" spans="1:16" x14ac:dyDescent="0.25">
      <c r="A115" s="7"/>
      <c r="B115" s="2" t="s">
        <v>12</v>
      </c>
      <c r="C115" s="3">
        <v>1958.12</v>
      </c>
      <c r="D115" s="4" t="s">
        <v>1</v>
      </c>
      <c r="E115" s="4">
        <v>1000000</v>
      </c>
      <c r="F115" s="5">
        <v>1.0000000000000002E-13</v>
      </c>
      <c r="G115" s="6">
        <v>66.11</v>
      </c>
      <c r="H115" s="29">
        <f t="shared" si="5"/>
        <v>66.11</v>
      </c>
      <c r="I115" s="39">
        <f t="shared" si="9"/>
        <v>0.78050094263398861</v>
      </c>
      <c r="J115" s="32">
        <v>3.2441899999999998E-11</v>
      </c>
      <c r="K115" s="41">
        <f t="shared" si="8"/>
        <v>608.23240466459185</v>
      </c>
      <c r="L115" s="42">
        <f t="shared" si="6"/>
        <v>10.869200570866687</v>
      </c>
      <c r="M115" s="33">
        <v>8.4</v>
      </c>
      <c r="N115" s="33">
        <v>50.7</v>
      </c>
      <c r="O115" s="33">
        <v>50.7</v>
      </c>
      <c r="P115" s="39">
        <f t="shared" si="7"/>
        <v>0.50700000000000001</v>
      </c>
    </row>
    <row r="116" spans="1:16" x14ac:dyDescent="0.25">
      <c r="A116" s="1">
        <v>1959.01</v>
      </c>
      <c r="B116" s="2" t="s">
        <v>0</v>
      </c>
      <c r="C116" s="3">
        <v>1959.01</v>
      </c>
      <c r="D116" s="4" t="s">
        <v>1</v>
      </c>
      <c r="E116" s="4">
        <v>1000000</v>
      </c>
      <c r="F116" s="5">
        <v>1.0000000000000002E-13</v>
      </c>
      <c r="G116" s="6">
        <v>65.849999999999994</v>
      </c>
      <c r="H116" s="29">
        <f t="shared" si="5"/>
        <v>65.849999999999994</v>
      </c>
      <c r="I116" s="39">
        <f t="shared" si="9"/>
        <v>0.76494237469847204</v>
      </c>
      <c r="J116" s="32">
        <v>3.8202800000000002E-11</v>
      </c>
      <c r="K116" s="41">
        <f t="shared" si="8"/>
        <v>716.23982901496129</v>
      </c>
      <c r="L116" s="42">
        <f t="shared" si="6"/>
        <v>9.193847833143117</v>
      </c>
      <c r="M116" s="33">
        <v>17.8</v>
      </c>
      <c r="N116" s="33">
        <v>17.8</v>
      </c>
      <c r="O116" s="33">
        <v>82.3</v>
      </c>
      <c r="P116" s="39">
        <f t="shared" si="7"/>
        <v>0.82299999999999995</v>
      </c>
    </row>
    <row r="117" spans="1:16" x14ac:dyDescent="0.25">
      <c r="A117" s="7"/>
      <c r="B117" s="2" t="s">
        <v>2</v>
      </c>
      <c r="C117" s="3">
        <v>1959.02</v>
      </c>
      <c r="D117" s="4" t="s">
        <v>1</v>
      </c>
      <c r="E117" s="4">
        <v>1000000</v>
      </c>
      <c r="F117" s="5">
        <v>1.0000000000000002E-13</v>
      </c>
      <c r="G117" s="6">
        <v>65.959999999999994</v>
      </c>
      <c r="H117" s="29">
        <f t="shared" si="5"/>
        <v>65.959999999999994</v>
      </c>
      <c r="I117" s="39">
        <f t="shared" si="9"/>
        <v>0.74220813523507645</v>
      </c>
      <c r="J117" s="32">
        <v>4.1671299999999998E-11</v>
      </c>
      <c r="K117" s="41">
        <f t="shared" si="8"/>
        <v>781.26851400502449</v>
      </c>
      <c r="L117" s="42">
        <f t="shared" si="6"/>
        <v>8.4426799259922305</v>
      </c>
      <c r="M117" s="33">
        <v>9.1</v>
      </c>
      <c r="N117" s="33">
        <v>28.4</v>
      </c>
      <c r="O117" s="33">
        <v>96.2</v>
      </c>
      <c r="P117" s="39">
        <f t="shared" si="7"/>
        <v>0.96200000000000008</v>
      </c>
    </row>
    <row r="118" spans="1:16" x14ac:dyDescent="0.25">
      <c r="A118" s="7"/>
      <c r="B118" s="2" t="s">
        <v>3</v>
      </c>
      <c r="C118" s="3">
        <v>1959.03</v>
      </c>
      <c r="D118" s="4" t="s">
        <v>1</v>
      </c>
      <c r="E118" s="4">
        <v>1000000</v>
      </c>
      <c r="F118" s="5">
        <v>1.0000000000000002E-13</v>
      </c>
      <c r="G118" s="6">
        <v>68.27</v>
      </c>
      <c r="H118" s="29">
        <f t="shared" si="5"/>
        <v>68.27</v>
      </c>
      <c r="I118" s="39">
        <f t="shared" si="9"/>
        <v>0.7636269697752518</v>
      </c>
      <c r="J118" s="32">
        <v>4.4728900000000002E-11</v>
      </c>
      <c r="K118" s="41">
        <f t="shared" si="8"/>
        <v>838.59349806891908</v>
      </c>
      <c r="L118" s="42">
        <f t="shared" si="6"/>
        <v>8.1410123208932017</v>
      </c>
      <c r="M118" s="33">
        <v>7.3</v>
      </c>
      <c r="N118" s="33">
        <v>37.9</v>
      </c>
      <c r="O118" s="33">
        <v>107.2</v>
      </c>
      <c r="P118" s="39">
        <f t="shared" si="7"/>
        <v>1.0720000000000001</v>
      </c>
    </row>
    <row r="119" spans="1:16" x14ac:dyDescent="0.25">
      <c r="A119" s="7"/>
      <c r="B119" s="2" t="s">
        <v>4</v>
      </c>
      <c r="C119" s="3">
        <v>1959.04</v>
      </c>
      <c r="D119" s="4" t="s">
        <v>1</v>
      </c>
      <c r="E119" s="4">
        <v>1000000</v>
      </c>
      <c r="F119" s="5">
        <v>1.0000000000000002E-13</v>
      </c>
      <c r="G119" s="6">
        <v>73.790000000000006</v>
      </c>
      <c r="H119" s="29">
        <f t="shared" si="5"/>
        <v>73.790000000000006</v>
      </c>
      <c r="I119" s="39">
        <f t="shared" si="9"/>
        <v>0.78711552434003407</v>
      </c>
      <c r="J119" s="32">
        <v>4.8427100000000001E-11</v>
      </c>
      <c r="K119" s="41">
        <f t="shared" si="8"/>
        <v>907.92868124039148</v>
      </c>
      <c r="L119" s="42">
        <f t="shared" si="6"/>
        <v>8.1272903394999911</v>
      </c>
      <c r="M119" s="33">
        <v>8.3000000000000007</v>
      </c>
      <c r="N119" s="33">
        <v>49.3</v>
      </c>
      <c r="O119" s="33">
        <v>115</v>
      </c>
      <c r="P119" s="39">
        <f t="shared" si="7"/>
        <v>1.1499999999999999</v>
      </c>
    </row>
    <row r="120" spans="1:16" x14ac:dyDescent="0.25">
      <c r="A120" s="7"/>
      <c r="B120" s="2" t="s">
        <v>5</v>
      </c>
      <c r="C120" s="3">
        <v>1959.05</v>
      </c>
      <c r="D120" s="4" t="s">
        <v>1</v>
      </c>
      <c r="E120" s="4">
        <v>1000000</v>
      </c>
      <c r="F120" s="5">
        <v>1.0000000000000002E-13</v>
      </c>
      <c r="G120" s="6">
        <v>85.42</v>
      </c>
      <c r="H120" s="29">
        <f t="shared" si="5"/>
        <v>85.42</v>
      </c>
      <c r="I120" s="39">
        <f t="shared" si="9"/>
        <v>1.0241706161137438</v>
      </c>
      <c r="J120" s="32">
        <v>5.3478999999999997E-11</v>
      </c>
      <c r="K120" s="41">
        <f t="shared" si="8"/>
        <v>1002.6435186921144</v>
      </c>
      <c r="L120" s="42">
        <f t="shared" si="6"/>
        <v>8.5194785990762725</v>
      </c>
      <c r="M120" s="33">
        <v>10.4</v>
      </c>
      <c r="N120" s="33">
        <v>64.8</v>
      </c>
      <c r="O120" s="33">
        <v>123</v>
      </c>
      <c r="P120" s="39">
        <f t="shared" si="7"/>
        <v>1.23</v>
      </c>
    </row>
    <row r="121" spans="1:16" x14ac:dyDescent="0.25">
      <c r="A121" s="7"/>
      <c r="B121" s="2" t="s">
        <v>6</v>
      </c>
      <c r="C121" s="3">
        <v>1959.06</v>
      </c>
      <c r="D121" s="4" t="s">
        <v>1</v>
      </c>
      <c r="E121" s="4">
        <v>1000000</v>
      </c>
      <c r="F121" s="5">
        <v>1.0000000000000002E-13</v>
      </c>
      <c r="G121" s="6">
        <v>90.3</v>
      </c>
      <c r="H121" s="29">
        <f t="shared" si="5"/>
        <v>90.3</v>
      </c>
      <c r="I121" s="39">
        <f t="shared" si="9"/>
        <v>1.1438746438746441</v>
      </c>
      <c r="J121" s="32">
        <v>5.6858499999999998E-11</v>
      </c>
      <c r="K121" s="41">
        <f t="shared" si="8"/>
        <v>1066.0035996850277</v>
      </c>
      <c r="L121" s="42">
        <f t="shared" si="6"/>
        <v>8.4708907199451264</v>
      </c>
      <c r="M121" s="33">
        <v>6.3</v>
      </c>
      <c r="N121" s="33">
        <v>75.3</v>
      </c>
      <c r="O121" s="33">
        <v>127.1</v>
      </c>
      <c r="P121" s="39">
        <f t="shared" si="7"/>
        <v>1.2709999999999999</v>
      </c>
    </row>
    <row r="122" spans="1:16" x14ac:dyDescent="0.25">
      <c r="A122" s="7"/>
      <c r="B122" s="2" t="s">
        <v>7</v>
      </c>
      <c r="C122" s="3">
        <v>1959.07</v>
      </c>
      <c r="D122" s="4" t="s">
        <v>1</v>
      </c>
      <c r="E122" s="4">
        <v>1000000</v>
      </c>
      <c r="F122" s="5">
        <v>1.0000000000000002E-13</v>
      </c>
      <c r="G122" s="6">
        <v>85.06</v>
      </c>
      <c r="H122" s="29">
        <f t="shared" si="5"/>
        <v>85.06</v>
      </c>
      <c r="I122" s="39">
        <f t="shared" si="9"/>
        <v>0.991571060641536</v>
      </c>
      <c r="J122" s="32">
        <v>5.8597500000000001E-11</v>
      </c>
      <c r="K122" s="41">
        <f t="shared" si="8"/>
        <v>1098.6069968877723</v>
      </c>
      <c r="L122" s="42">
        <f t="shared" si="6"/>
        <v>7.7425321558086955</v>
      </c>
      <c r="M122" s="33">
        <v>3.1</v>
      </c>
      <c r="N122" s="33">
        <v>80.599999999999994</v>
      </c>
      <c r="O122" s="33">
        <v>125.9</v>
      </c>
      <c r="P122" s="39">
        <f t="shared" si="7"/>
        <v>1.2590000000000001</v>
      </c>
    </row>
    <row r="123" spans="1:16" x14ac:dyDescent="0.25">
      <c r="A123" s="7"/>
      <c r="B123" s="2" t="s">
        <v>8</v>
      </c>
      <c r="C123" s="3">
        <v>1959.08</v>
      </c>
      <c r="D123" s="4" t="s">
        <v>1</v>
      </c>
      <c r="E123" s="4">
        <v>1000000</v>
      </c>
      <c r="F123" s="5">
        <v>1.0000000000000002E-13</v>
      </c>
      <c r="G123" s="6">
        <v>84.02</v>
      </c>
      <c r="H123" s="29">
        <f t="shared" si="5"/>
        <v>84.02</v>
      </c>
      <c r="I123" s="39">
        <f t="shared" si="9"/>
        <v>0.86049601417183363</v>
      </c>
      <c r="J123" s="32">
        <v>6.0812500000000003E-11</v>
      </c>
      <c r="K123" s="41">
        <f t="shared" si="8"/>
        <v>1140.1346132213432</v>
      </c>
      <c r="L123" s="42">
        <f t="shared" si="6"/>
        <v>7.3693052579650562</v>
      </c>
      <c r="M123" s="33">
        <v>3.8</v>
      </c>
      <c r="N123" s="33">
        <v>87.5</v>
      </c>
      <c r="O123" s="33">
        <v>124</v>
      </c>
      <c r="P123" s="39">
        <f t="shared" si="7"/>
        <v>1.24</v>
      </c>
    </row>
    <row r="124" spans="1:16" x14ac:dyDescent="0.25">
      <c r="A124" s="7"/>
      <c r="B124" s="2" t="s">
        <v>9</v>
      </c>
      <c r="C124" s="3">
        <v>1959.09</v>
      </c>
      <c r="D124" s="4" t="s">
        <v>1</v>
      </c>
      <c r="E124" s="4">
        <v>1000000</v>
      </c>
      <c r="F124" s="5">
        <v>1.0000000000000002E-13</v>
      </c>
      <c r="G124" s="6">
        <v>83.35</v>
      </c>
      <c r="H124" s="29">
        <f t="shared" si="5"/>
        <v>83.35</v>
      </c>
      <c r="I124" s="39">
        <f t="shared" si="9"/>
        <v>0.68179983857949944</v>
      </c>
      <c r="J124" s="32">
        <v>6.1890499999999997E-11</v>
      </c>
      <c r="K124" s="41">
        <f t="shared" si="8"/>
        <v>1160.3453447823315</v>
      </c>
      <c r="L124" s="42">
        <f t="shared" si="6"/>
        <v>7.1832063079147845</v>
      </c>
      <c r="M124" s="33">
        <v>1.8</v>
      </c>
      <c r="N124" s="33">
        <v>90.8</v>
      </c>
      <c r="O124" s="33">
        <v>123.7</v>
      </c>
      <c r="P124" s="39">
        <f t="shared" si="7"/>
        <v>1.2370000000000001</v>
      </c>
    </row>
    <row r="125" spans="1:16" x14ac:dyDescent="0.25">
      <c r="A125" s="7"/>
      <c r="B125" s="2" t="s">
        <v>10</v>
      </c>
      <c r="C125" s="3">
        <v>1959.1</v>
      </c>
      <c r="D125" s="4" t="s">
        <v>1</v>
      </c>
      <c r="E125" s="4">
        <v>1000000</v>
      </c>
      <c r="F125" s="5">
        <v>1.0000000000000002E-13</v>
      </c>
      <c r="G125" s="6">
        <v>82.08</v>
      </c>
      <c r="H125" s="29">
        <f t="shared" si="5"/>
        <v>82.08</v>
      </c>
      <c r="I125" s="39">
        <f t="shared" si="9"/>
        <v>0.34095735990851161</v>
      </c>
      <c r="J125" s="32">
        <v>6.2272900000000002E-11</v>
      </c>
      <c r="K125" s="41">
        <f t="shared" si="8"/>
        <v>1167.5147174622221</v>
      </c>
      <c r="L125" s="42">
        <f t="shared" si="6"/>
        <v>7.0303182283144032</v>
      </c>
      <c r="M125" s="33">
        <v>0.6</v>
      </c>
      <c r="N125" s="33">
        <v>92</v>
      </c>
      <c r="O125" s="33">
        <v>118.6</v>
      </c>
      <c r="P125" s="39">
        <f t="shared" si="7"/>
        <v>1.1859999999999999</v>
      </c>
    </row>
    <row r="126" spans="1:16" x14ac:dyDescent="0.25">
      <c r="A126" s="7"/>
      <c r="B126" s="2" t="s">
        <v>11</v>
      </c>
      <c r="C126" s="3">
        <v>1959.11</v>
      </c>
      <c r="D126" s="4" t="s">
        <v>1</v>
      </c>
      <c r="E126" s="4">
        <v>1000000</v>
      </c>
      <c r="F126" s="5">
        <v>1.0000000000000002E-13</v>
      </c>
      <c r="G126" s="6">
        <v>82.83</v>
      </c>
      <c r="H126" s="29">
        <f t="shared" si="5"/>
        <v>82.83</v>
      </c>
      <c r="I126" s="39">
        <f t="shared" si="9"/>
        <v>0.15410338581580052</v>
      </c>
      <c r="J126" s="32">
        <v>6.3576299999999998E-11</v>
      </c>
      <c r="K126" s="41">
        <f t="shared" si="8"/>
        <v>1191.9513292586898</v>
      </c>
      <c r="L126" s="42">
        <f t="shared" si="6"/>
        <v>6.9491092435388664</v>
      </c>
      <c r="M126" s="33">
        <v>2.1</v>
      </c>
      <c r="N126" s="33">
        <v>96</v>
      </c>
      <c r="O126" s="33">
        <v>112.4</v>
      </c>
      <c r="P126" s="39">
        <f t="shared" si="7"/>
        <v>1.1240000000000001</v>
      </c>
    </row>
    <row r="127" spans="1:16" x14ac:dyDescent="0.25">
      <c r="A127" s="7"/>
      <c r="B127" s="2" t="s">
        <v>12</v>
      </c>
      <c r="C127" s="3">
        <v>1959.12</v>
      </c>
      <c r="D127" s="4" t="s">
        <v>1</v>
      </c>
      <c r="E127" s="4">
        <v>1000000</v>
      </c>
      <c r="F127" s="5">
        <v>1.0000000000000002E-13</v>
      </c>
      <c r="G127" s="6">
        <v>83.36</v>
      </c>
      <c r="H127" s="29">
        <f t="shared" si="5"/>
        <v>83.36</v>
      </c>
      <c r="I127" s="39">
        <f t="shared" si="9"/>
        <v>0.26092875510512781</v>
      </c>
      <c r="J127" s="32">
        <v>6.5409500000000006E-11</v>
      </c>
      <c r="K127" s="41">
        <f t="shared" si="8"/>
        <v>1226.3208219280814</v>
      </c>
      <c r="L127" s="42">
        <f t="shared" si="6"/>
        <v>6.7975686712174825</v>
      </c>
      <c r="M127" s="33">
        <v>2.9</v>
      </c>
      <c r="N127" s="33">
        <v>101.6</v>
      </c>
      <c r="O127" s="33">
        <v>101.6</v>
      </c>
      <c r="P127" s="39">
        <f t="shared" si="7"/>
        <v>1.016</v>
      </c>
    </row>
    <row r="128" spans="1:16" x14ac:dyDescent="0.25">
      <c r="A128" s="1">
        <v>1960.01</v>
      </c>
      <c r="B128" s="2" t="s">
        <v>0</v>
      </c>
      <c r="C128" s="3">
        <v>1960.01</v>
      </c>
      <c r="D128" s="4" t="s">
        <v>1</v>
      </c>
      <c r="E128" s="4">
        <v>1000000</v>
      </c>
      <c r="F128" s="5">
        <v>1.0000000000000002E-13</v>
      </c>
      <c r="G128" s="6">
        <v>83.07</v>
      </c>
      <c r="H128" s="29">
        <f t="shared" si="5"/>
        <v>83.07</v>
      </c>
      <c r="I128" s="39">
        <f t="shared" si="9"/>
        <v>0.26150341685649203</v>
      </c>
      <c r="J128" s="32">
        <v>6.7201800000000003E-11</v>
      </c>
      <c r="K128" s="41">
        <f t="shared" si="8"/>
        <v>1259.9235066931644</v>
      </c>
      <c r="L128" s="42">
        <f t="shared" si="6"/>
        <v>6.5932574127478718</v>
      </c>
      <c r="M128" s="33">
        <v>2.7</v>
      </c>
      <c r="N128" s="33">
        <v>2.7</v>
      </c>
      <c r="O128" s="33">
        <v>75.900000000000006</v>
      </c>
      <c r="P128" s="39">
        <f t="shared" si="7"/>
        <v>0.75900000000000001</v>
      </c>
    </row>
    <row r="129" spans="1:16" x14ac:dyDescent="0.25">
      <c r="A129" s="7"/>
      <c r="B129" s="2" t="s">
        <v>2</v>
      </c>
      <c r="C129" s="3">
        <v>1960.02</v>
      </c>
      <c r="D129" s="4" t="s">
        <v>1</v>
      </c>
      <c r="E129" s="4">
        <v>1000000</v>
      </c>
      <c r="F129" s="5">
        <v>1.0000000000000002E-13</v>
      </c>
      <c r="G129" s="6">
        <v>82.92</v>
      </c>
      <c r="H129" s="29">
        <f t="shared" si="5"/>
        <v>82.92</v>
      </c>
      <c r="I129" s="39">
        <f t="shared" si="9"/>
        <v>0.25712553062462118</v>
      </c>
      <c r="J129" s="32">
        <v>6.7755700000000006E-11</v>
      </c>
      <c r="K129" s="41">
        <f t="shared" si="8"/>
        <v>1270.3082230304851</v>
      </c>
      <c r="L129" s="42">
        <f t="shared" si="6"/>
        <v>6.5275496526491477</v>
      </c>
      <c r="M129" s="33">
        <v>0.8</v>
      </c>
      <c r="N129" s="33">
        <v>3.6</v>
      </c>
      <c r="O129" s="33">
        <v>62.6</v>
      </c>
      <c r="P129" s="39">
        <f t="shared" si="7"/>
        <v>0.626</v>
      </c>
    </row>
    <row r="130" spans="1:16" x14ac:dyDescent="0.25">
      <c r="A130" s="7"/>
      <c r="B130" s="2" t="s">
        <v>3</v>
      </c>
      <c r="C130" s="3">
        <v>1960.03</v>
      </c>
      <c r="D130" s="4" t="s">
        <v>1</v>
      </c>
      <c r="E130" s="4">
        <v>1000000</v>
      </c>
      <c r="F130" s="5">
        <v>1.0000000000000002E-13</v>
      </c>
      <c r="G130" s="6">
        <v>82.93</v>
      </c>
      <c r="H130" s="29">
        <f t="shared" si="5"/>
        <v>82.93</v>
      </c>
      <c r="I130" s="39">
        <f t="shared" si="9"/>
        <v>0.2147356086128609</v>
      </c>
      <c r="J130" s="32">
        <v>6.8239899999999996E-11</v>
      </c>
      <c r="K130" s="41">
        <f t="shared" si="8"/>
        <v>1279.3861787093629</v>
      </c>
      <c r="L130" s="42">
        <f t="shared" si="6"/>
        <v>6.4820146864224606</v>
      </c>
      <c r="M130" s="33">
        <v>0.7</v>
      </c>
      <c r="N130" s="33">
        <v>4.3</v>
      </c>
      <c r="O130" s="33">
        <v>52.6</v>
      </c>
      <c r="P130" s="39">
        <f t="shared" si="7"/>
        <v>0.52600000000000002</v>
      </c>
    </row>
    <row r="131" spans="1:16" x14ac:dyDescent="0.25">
      <c r="A131" s="7"/>
      <c r="B131" s="2" t="s">
        <v>4</v>
      </c>
      <c r="C131" s="3">
        <v>1960.04</v>
      </c>
      <c r="D131" s="4" t="s">
        <v>1</v>
      </c>
      <c r="E131" s="4">
        <v>1000000</v>
      </c>
      <c r="F131" s="5">
        <v>1.0000000000000002E-13</v>
      </c>
      <c r="G131" s="6">
        <v>83.38</v>
      </c>
      <c r="H131" s="29">
        <f t="shared" si="5"/>
        <v>83.38</v>
      </c>
      <c r="I131" s="39">
        <f t="shared" si="9"/>
        <v>0.12996340967610776</v>
      </c>
      <c r="J131" s="32">
        <v>6.8170899999999998E-11</v>
      </c>
      <c r="K131" s="41">
        <f t="shared" si="8"/>
        <v>1278.0925419025834</v>
      </c>
      <c r="L131" s="42">
        <f t="shared" si="6"/>
        <v>6.5237842539852053</v>
      </c>
      <c r="M131" s="33">
        <v>-0.1</v>
      </c>
      <c r="N131" s="33">
        <v>4.2</v>
      </c>
      <c r="O131" s="33">
        <v>40.799999999999997</v>
      </c>
      <c r="P131" s="39">
        <f t="shared" si="7"/>
        <v>0.40799999999999997</v>
      </c>
    </row>
    <row r="132" spans="1:16" x14ac:dyDescent="0.25">
      <c r="A132" s="7"/>
      <c r="B132" s="2" t="s">
        <v>5</v>
      </c>
      <c r="C132" s="3">
        <v>1960.05</v>
      </c>
      <c r="D132" s="4" t="s">
        <v>1</v>
      </c>
      <c r="E132" s="4">
        <v>1000000</v>
      </c>
      <c r="F132" s="5">
        <v>1.0000000000000002E-13</v>
      </c>
      <c r="G132" s="6">
        <v>83.09</v>
      </c>
      <c r="H132" s="29">
        <f t="shared" si="5"/>
        <v>83.09</v>
      </c>
      <c r="I132" s="39">
        <f t="shared" si="9"/>
        <v>-2.727698431280734E-2</v>
      </c>
      <c r="J132" s="32">
        <v>6.8032599999999998E-11</v>
      </c>
      <c r="K132" s="41">
        <f t="shared" si="8"/>
        <v>1275.4996437811692</v>
      </c>
      <c r="L132" s="42">
        <f t="shared" si="6"/>
        <v>6.5143099337670467</v>
      </c>
      <c r="M132" s="33">
        <v>-0.2</v>
      </c>
      <c r="N132" s="33">
        <v>4</v>
      </c>
      <c r="O132" s="33">
        <v>27.2</v>
      </c>
      <c r="P132" s="39">
        <f t="shared" si="7"/>
        <v>0.27200000000000002</v>
      </c>
    </row>
    <row r="133" spans="1:16" x14ac:dyDescent="0.25">
      <c r="A133" s="7"/>
      <c r="B133" s="2" t="s">
        <v>6</v>
      </c>
      <c r="C133" s="3">
        <v>1960.06</v>
      </c>
      <c r="D133" s="4" t="s">
        <v>1</v>
      </c>
      <c r="E133" s="4">
        <v>1000000</v>
      </c>
      <c r="F133" s="5">
        <v>1.0000000000000002E-13</v>
      </c>
      <c r="G133" s="6">
        <v>82.92</v>
      </c>
      <c r="H133" s="29">
        <f t="shared" si="5"/>
        <v>82.92</v>
      </c>
      <c r="I133" s="39">
        <f t="shared" si="9"/>
        <v>-8.1727574750830478E-2</v>
      </c>
      <c r="J133" s="32">
        <v>6.7686699999999996E-11</v>
      </c>
      <c r="K133" s="41">
        <f t="shared" si="8"/>
        <v>1269.0145862237055</v>
      </c>
      <c r="L133" s="42">
        <f t="shared" si="6"/>
        <v>6.5342038539328993</v>
      </c>
      <c r="M133" s="33">
        <v>-0.5</v>
      </c>
      <c r="N133" s="33">
        <v>3.5</v>
      </c>
      <c r="O133" s="33">
        <v>19</v>
      </c>
      <c r="P133" s="39">
        <f t="shared" si="7"/>
        <v>0.19</v>
      </c>
    </row>
    <row r="134" spans="1:16" x14ac:dyDescent="0.25">
      <c r="A134" s="7"/>
      <c r="B134" s="2" t="s">
        <v>7</v>
      </c>
      <c r="C134" s="3">
        <v>1960.07</v>
      </c>
      <c r="D134" s="4" t="s">
        <v>1</v>
      </c>
      <c r="E134" s="4">
        <v>1000000</v>
      </c>
      <c r="F134" s="5">
        <v>1.0000000000000002E-13</v>
      </c>
      <c r="G134" s="6">
        <v>82.81</v>
      </c>
      <c r="H134" s="29">
        <f t="shared" si="5"/>
        <v>82.81</v>
      </c>
      <c r="I134" s="39">
        <f t="shared" si="9"/>
        <v>-2.6451916294380484E-2</v>
      </c>
      <c r="J134" s="32">
        <v>6.8309199999999998E-11</v>
      </c>
      <c r="K134" s="41">
        <f t="shared" si="8"/>
        <v>1280.6854400239979</v>
      </c>
      <c r="L134" s="42">
        <f t="shared" si="6"/>
        <v>6.4660686701059307</v>
      </c>
      <c r="M134" s="33">
        <v>0.9</v>
      </c>
      <c r="N134" s="33">
        <v>4.4000000000000004</v>
      </c>
      <c r="O134" s="33">
        <v>16.600000000000001</v>
      </c>
      <c r="P134" s="39">
        <f t="shared" si="7"/>
        <v>0.16600000000000001</v>
      </c>
    </row>
    <row r="135" spans="1:16" x14ac:dyDescent="0.25">
      <c r="A135" s="7"/>
      <c r="B135" s="2" t="s">
        <v>8</v>
      </c>
      <c r="C135" s="3">
        <v>1960.08</v>
      </c>
      <c r="D135" s="4" t="s">
        <v>1</v>
      </c>
      <c r="E135" s="4">
        <v>1000000</v>
      </c>
      <c r="F135" s="5">
        <v>1.0000000000000002E-13</v>
      </c>
      <c r="G135" s="6">
        <v>82.79</v>
      </c>
      <c r="H135" s="29">
        <f t="shared" si="5"/>
        <v>82.79</v>
      </c>
      <c r="I135" s="39">
        <f t="shared" si="9"/>
        <v>-1.4639371578195504E-2</v>
      </c>
      <c r="J135" s="32">
        <v>6.8655400000000006E-11</v>
      </c>
      <c r="K135" s="41">
        <f t="shared" si="8"/>
        <v>1287.1761220893175</v>
      </c>
      <c r="L135" s="42">
        <f t="shared" si="6"/>
        <v>6.4319092453033546</v>
      </c>
      <c r="M135" s="33">
        <v>0.5</v>
      </c>
      <c r="N135" s="33">
        <v>5</v>
      </c>
      <c r="O135" s="33">
        <v>12.9</v>
      </c>
      <c r="P135" s="39">
        <f t="shared" si="7"/>
        <v>0.129</v>
      </c>
    </row>
    <row r="136" spans="1:16" x14ac:dyDescent="0.25">
      <c r="A136" s="7"/>
      <c r="B136" s="2" t="s">
        <v>9</v>
      </c>
      <c r="C136" s="3">
        <v>1960.09</v>
      </c>
      <c r="D136" s="4" t="s">
        <v>1</v>
      </c>
      <c r="E136" s="4">
        <v>1000000</v>
      </c>
      <c r="F136" s="5">
        <v>1.0000000000000002E-13</v>
      </c>
      <c r="G136" s="6">
        <v>82.76</v>
      </c>
      <c r="H136" s="29">
        <f t="shared" si="5"/>
        <v>82.76</v>
      </c>
      <c r="I136" s="39">
        <f t="shared" si="9"/>
        <v>-7.07858428314323E-3</v>
      </c>
      <c r="J136" s="32">
        <v>6.8724699999999995E-11</v>
      </c>
      <c r="K136" s="41">
        <f t="shared" si="8"/>
        <v>1288.475383403952</v>
      </c>
      <c r="L136" s="42">
        <f t="shared" si="6"/>
        <v>6.423095160837371</v>
      </c>
      <c r="M136" s="33">
        <v>0.1</v>
      </c>
      <c r="N136" s="33">
        <v>5.0999999999999996</v>
      </c>
      <c r="O136" s="33">
        <v>11</v>
      </c>
      <c r="P136" s="39">
        <f t="shared" si="7"/>
        <v>0.11</v>
      </c>
    </row>
    <row r="137" spans="1:16" x14ac:dyDescent="0.25">
      <c r="A137" s="7"/>
      <c r="B137" s="2" t="s">
        <v>10</v>
      </c>
      <c r="C137" s="3">
        <v>1960.1</v>
      </c>
      <c r="D137" s="4" t="s">
        <v>1</v>
      </c>
      <c r="E137" s="4">
        <v>1000000</v>
      </c>
      <c r="F137" s="5">
        <v>1.0000000000000002E-13</v>
      </c>
      <c r="G137" s="6">
        <v>82.85</v>
      </c>
      <c r="H137" s="29">
        <f t="shared" ref="H137:H200" si="10">+G137</f>
        <v>82.85</v>
      </c>
      <c r="I137" s="39">
        <f t="shared" si="9"/>
        <v>9.3810916179337678E-3</v>
      </c>
      <c r="J137" s="32">
        <v>6.92782E-11</v>
      </c>
      <c r="K137" s="41">
        <f t="shared" si="8"/>
        <v>1298.8526003974653</v>
      </c>
      <c r="L137" s="42">
        <f t="shared" ref="L137:L200" si="11">+H137/K137*100</f>
        <v>6.3787068659405115</v>
      </c>
      <c r="M137" s="33">
        <v>0.8</v>
      </c>
      <c r="N137" s="33">
        <v>5.9</v>
      </c>
      <c r="O137" s="33">
        <v>11.2</v>
      </c>
      <c r="P137" s="39">
        <f t="shared" ref="P137:P200" si="12">+O137/100</f>
        <v>0.11199999999999999</v>
      </c>
    </row>
    <row r="138" spans="1:16" x14ac:dyDescent="0.25">
      <c r="A138" s="7"/>
      <c r="B138" s="2" t="s">
        <v>11</v>
      </c>
      <c r="C138" s="3">
        <v>1960.11</v>
      </c>
      <c r="D138" s="4" t="s">
        <v>1</v>
      </c>
      <c r="E138" s="4">
        <v>1000000</v>
      </c>
      <c r="F138" s="5">
        <v>1.0000000000000002E-13</v>
      </c>
      <c r="G138" s="6">
        <v>82.92</v>
      </c>
      <c r="H138" s="29">
        <f t="shared" si="10"/>
        <v>82.92</v>
      </c>
      <c r="I138" s="39">
        <f t="shared" si="9"/>
        <v>1.0865628395508864E-3</v>
      </c>
      <c r="J138" s="32">
        <v>7.1008400000000003E-11</v>
      </c>
      <c r="K138" s="41">
        <f t="shared" ref="K138:K201" si="13">+J138*$K$8/$J$8</f>
        <v>1331.291012036447</v>
      </c>
      <c r="L138" s="42">
        <f t="shared" si="11"/>
        <v>6.2285405107001415</v>
      </c>
      <c r="M138" s="33">
        <v>2.5</v>
      </c>
      <c r="N138" s="33">
        <v>8.6</v>
      </c>
      <c r="O138" s="33">
        <v>11.7</v>
      </c>
      <c r="P138" s="39">
        <f t="shared" si="12"/>
        <v>0.11699999999999999</v>
      </c>
    </row>
    <row r="139" spans="1:16" x14ac:dyDescent="0.25">
      <c r="A139" s="7"/>
      <c r="B139" s="2" t="s">
        <v>12</v>
      </c>
      <c r="C139" s="3">
        <v>1960.12</v>
      </c>
      <c r="D139" s="4" t="s">
        <v>1</v>
      </c>
      <c r="E139" s="4">
        <v>1000000</v>
      </c>
      <c r="F139" s="5">
        <v>1.0000000000000002E-13</v>
      </c>
      <c r="G139" s="6">
        <v>82.85</v>
      </c>
      <c r="H139" s="29">
        <f t="shared" si="10"/>
        <v>82.85</v>
      </c>
      <c r="I139" s="39">
        <f t="shared" si="9"/>
        <v>-6.1180422264875967E-3</v>
      </c>
      <c r="J139" s="32">
        <v>7.7514199999999994E-11</v>
      </c>
      <c r="K139" s="41">
        <f t="shared" si="13"/>
        <v>1453.2640893921782</v>
      </c>
      <c r="L139" s="42">
        <f t="shared" si="11"/>
        <v>5.7009596951268273</v>
      </c>
      <c r="M139" s="33">
        <v>9.1999999999999993</v>
      </c>
      <c r="N139" s="33">
        <v>18.5</v>
      </c>
      <c r="O139" s="33">
        <v>18.5</v>
      </c>
      <c r="P139" s="39">
        <f t="shared" si="12"/>
        <v>0.185</v>
      </c>
    </row>
    <row r="140" spans="1:16" x14ac:dyDescent="0.25">
      <c r="A140" s="1">
        <v>1961.01</v>
      </c>
      <c r="B140" s="2" t="s">
        <v>13</v>
      </c>
      <c r="C140" s="3">
        <v>1961.01</v>
      </c>
      <c r="D140" s="4" t="s">
        <v>1</v>
      </c>
      <c r="E140" s="4">
        <v>1000000</v>
      </c>
      <c r="F140" s="5">
        <v>1.0000000000000002E-13</v>
      </c>
      <c r="G140" s="6">
        <v>82.73</v>
      </c>
      <c r="H140" s="29">
        <f t="shared" si="10"/>
        <v>82.73</v>
      </c>
      <c r="I140" s="39">
        <f t="shared" si="9"/>
        <v>-4.0929336703983132E-3</v>
      </c>
      <c r="J140" s="32">
        <v>7.2807899999999995E-11</v>
      </c>
      <c r="K140" s="41">
        <f t="shared" si="13"/>
        <v>1365.0286849900633</v>
      </c>
      <c r="L140" s="42">
        <f t="shared" si="11"/>
        <v>6.0606784978003763</v>
      </c>
      <c r="M140" s="33">
        <v>-6.1</v>
      </c>
      <c r="N140" s="33">
        <v>-6.1</v>
      </c>
      <c r="O140" s="33">
        <v>8.3000000000000007</v>
      </c>
      <c r="P140" s="39">
        <f t="shared" si="12"/>
        <v>8.3000000000000004E-2</v>
      </c>
    </row>
    <row r="141" spans="1:16" x14ac:dyDescent="0.25">
      <c r="A141" s="7"/>
      <c r="B141" s="2" t="s">
        <v>2</v>
      </c>
      <c r="C141" s="3">
        <v>1961.02</v>
      </c>
      <c r="D141" s="4" t="s">
        <v>1</v>
      </c>
      <c r="E141" s="4">
        <v>1000000</v>
      </c>
      <c r="F141" s="5">
        <v>1.0000000000000002E-13</v>
      </c>
      <c r="G141" s="6">
        <v>82.7</v>
      </c>
      <c r="H141" s="29">
        <f t="shared" si="10"/>
        <v>82.7</v>
      </c>
      <c r="I141" s="39">
        <f t="shared" si="9"/>
        <v>-2.6531596719729933E-3</v>
      </c>
      <c r="J141" s="32">
        <v>7.3707599999999994E-11</v>
      </c>
      <c r="K141" s="41">
        <f t="shared" si="13"/>
        <v>1381.8965840488956</v>
      </c>
      <c r="L141" s="42">
        <f t="shared" si="11"/>
        <v>5.9845288681221476</v>
      </c>
      <c r="M141" s="33">
        <v>1.2</v>
      </c>
      <c r="N141" s="33">
        <v>-4.9000000000000004</v>
      </c>
      <c r="O141" s="33">
        <v>8.8000000000000007</v>
      </c>
      <c r="P141" s="39">
        <f t="shared" si="12"/>
        <v>8.8000000000000009E-2</v>
      </c>
    </row>
    <row r="142" spans="1:16" x14ac:dyDescent="0.25">
      <c r="A142" s="7"/>
      <c r="B142" s="2" t="s">
        <v>3</v>
      </c>
      <c r="C142" s="3">
        <v>1961.03</v>
      </c>
      <c r="D142" s="4" t="s">
        <v>1</v>
      </c>
      <c r="E142" s="4">
        <v>1000000</v>
      </c>
      <c r="F142" s="5">
        <v>1.0000000000000002E-13</v>
      </c>
      <c r="G142" s="6">
        <v>82.75</v>
      </c>
      <c r="H142" s="29">
        <f t="shared" si="10"/>
        <v>82.75</v>
      </c>
      <c r="I142" s="39">
        <f t="shared" si="9"/>
        <v>-2.1705052453877549E-3</v>
      </c>
      <c r="J142" s="32">
        <v>7.4538400000000002E-11</v>
      </c>
      <c r="K142" s="41">
        <f t="shared" si="13"/>
        <v>1397.4727211369006</v>
      </c>
      <c r="L142" s="42">
        <f t="shared" si="11"/>
        <v>5.921403598682021</v>
      </c>
      <c r="M142" s="33">
        <v>1.1000000000000001</v>
      </c>
      <c r="N142" s="33">
        <v>-3.8</v>
      </c>
      <c r="O142" s="33">
        <v>9.1999999999999993</v>
      </c>
      <c r="P142" s="39">
        <f t="shared" si="12"/>
        <v>9.1999999999999998E-2</v>
      </c>
    </row>
    <row r="143" spans="1:16" x14ac:dyDescent="0.25">
      <c r="A143" s="7"/>
      <c r="B143" s="2" t="s">
        <v>4</v>
      </c>
      <c r="C143" s="3">
        <v>1961.04</v>
      </c>
      <c r="D143" s="4" t="s">
        <v>1</v>
      </c>
      <c r="E143" s="4">
        <v>1000000</v>
      </c>
      <c r="F143" s="5">
        <v>1.0000000000000002E-13</v>
      </c>
      <c r="G143" s="6">
        <v>82.85</v>
      </c>
      <c r="H143" s="29">
        <f t="shared" si="10"/>
        <v>82.85</v>
      </c>
      <c r="I143" s="39">
        <f t="shared" si="9"/>
        <v>-6.3564403933796809E-3</v>
      </c>
      <c r="J143" s="32">
        <v>7.6199199999999996E-11</v>
      </c>
      <c r="K143" s="41">
        <f t="shared" si="13"/>
        <v>1428.6099966252953</v>
      </c>
      <c r="L143" s="42">
        <f t="shared" si="11"/>
        <v>5.7993434314271015</v>
      </c>
      <c r="M143" s="33">
        <v>2.2000000000000002</v>
      </c>
      <c r="N143" s="33">
        <v>-1.7</v>
      </c>
      <c r="O143" s="33">
        <v>11.8</v>
      </c>
      <c r="P143" s="39">
        <f t="shared" si="12"/>
        <v>0.11800000000000001</v>
      </c>
    </row>
    <row r="144" spans="1:16" x14ac:dyDescent="0.25">
      <c r="A144" s="7"/>
      <c r="B144" s="2" t="s">
        <v>5</v>
      </c>
      <c r="C144" s="3">
        <v>1961.05</v>
      </c>
      <c r="D144" s="4" t="s">
        <v>1</v>
      </c>
      <c r="E144" s="4">
        <v>1000000</v>
      </c>
      <c r="F144" s="5">
        <v>1.0000000000000002E-13</v>
      </c>
      <c r="G144" s="6">
        <v>82.93</v>
      </c>
      <c r="H144" s="29">
        <f t="shared" si="10"/>
        <v>82.93</v>
      </c>
      <c r="I144" s="39">
        <f t="shared" si="9"/>
        <v>-1.9256228186304014E-3</v>
      </c>
      <c r="J144" s="32">
        <v>7.6752799999999994E-11</v>
      </c>
      <c r="K144" s="41">
        <f t="shared" si="13"/>
        <v>1438.9890884547601</v>
      </c>
      <c r="L144" s="42">
        <f t="shared" si="11"/>
        <v>5.7630735816804082</v>
      </c>
      <c r="M144" s="33">
        <v>0.7</v>
      </c>
      <c r="N144" s="33">
        <v>-1</v>
      </c>
      <c r="O144" s="33">
        <v>12.8</v>
      </c>
      <c r="P144" s="39">
        <f t="shared" si="12"/>
        <v>0.128</v>
      </c>
    </row>
    <row r="145" spans="1:16" x14ac:dyDescent="0.25">
      <c r="A145" s="7"/>
      <c r="B145" s="2" t="s">
        <v>6</v>
      </c>
      <c r="C145" s="3">
        <v>1961.06</v>
      </c>
      <c r="D145" s="4" t="s">
        <v>1</v>
      </c>
      <c r="E145" s="4">
        <v>1000000</v>
      </c>
      <c r="F145" s="5">
        <v>1.0000000000000002E-13</v>
      </c>
      <c r="G145" s="6">
        <v>82.74</v>
      </c>
      <c r="H145" s="29">
        <f t="shared" si="10"/>
        <v>82.74</v>
      </c>
      <c r="I145" s="39">
        <f t="shared" si="9"/>
        <v>-2.1707670043416005E-3</v>
      </c>
      <c r="J145" s="32">
        <v>7.7790799999999994E-11</v>
      </c>
      <c r="K145" s="41">
        <f t="shared" si="13"/>
        <v>1458.4498856350067</v>
      </c>
      <c r="L145" s="42">
        <f t="shared" si="11"/>
        <v>5.6731465931704017</v>
      </c>
      <c r="M145" s="33">
        <v>1.4</v>
      </c>
      <c r="N145" s="33">
        <v>0.4</v>
      </c>
      <c r="O145" s="33">
        <v>14.9</v>
      </c>
      <c r="P145" s="39">
        <f t="shared" si="12"/>
        <v>0.14899999999999999</v>
      </c>
    </row>
    <row r="146" spans="1:16" x14ac:dyDescent="0.25">
      <c r="A146" s="7"/>
      <c r="B146" s="2" t="s">
        <v>7</v>
      </c>
      <c r="C146" s="3">
        <v>1961.07</v>
      </c>
      <c r="D146" s="4" t="s">
        <v>1</v>
      </c>
      <c r="E146" s="4">
        <v>1000000</v>
      </c>
      <c r="F146" s="5">
        <v>1.0000000000000002E-13</v>
      </c>
      <c r="G146" s="6">
        <v>82.65</v>
      </c>
      <c r="H146" s="29">
        <f t="shared" si="10"/>
        <v>82.65</v>
      </c>
      <c r="I146" s="39">
        <f t="shared" si="9"/>
        <v>-1.9321338002655786E-3</v>
      </c>
      <c r="J146" s="32">
        <v>7.8967500000000004E-11</v>
      </c>
      <c r="K146" s="41">
        <f t="shared" si="13"/>
        <v>1480.5110802804757</v>
      </c>
      <c r="L146" s="42">
        <f t="shared" si="11"/>
        <v>5.5825316744230218</v>
      </c>
      <c r="M146" s="33">
        <v>1.5</v>
      </c>
      <c r="N146" s="33">
        <v>1.9</v>
      </c>
      <c r="O146" s="33">
        <v>15.6</v>
      </c>
      <c r="P146" s="39">
        <f t="shared" si="12"/>
        <v>0.156</v>
      </c>
    </row>
    <row r="147" spans="1:16" x14ac:dyDescent="0.25">
      <c r="A147" s="7"/>
      <c r="B147" s="2" t="s">
        <v>8</v>
      </c>
      <c r="C147" s="3">
        <v>1961.08</v>
      </c>
      <c r="D147" s="4" t="s">
        <v>1</v>
      </c>
      <c r="E147" s="4">
        <v>1000000</v>
      </c>
      <c r="F147" s="5">
        <v>1.0000000000000002E-13</v>
      </c>
      <c r="G147" s="6">
        <v>82.74</v>
      </c>
      <c r="H147" s="29">
        <f t="shared" si="10"/>
        <v>82.74</v>
      </c>
      <c r="I147" s="39">
        <f t="shared" si="9"/>
        <v>-6.0393767363220441E-4</v>
      </c>
      <c r="J147" s="32">
        <v>7.9590299999999999E-11</v>
      </c>
      <c r="K147" s="41">
        <f t="shared" si="13"/>
        <v>1492.1875585886235</v>
      </c>
      <c r="L147" s="42">
        <f t="shared" si="11"/>
        <v>5.5448793634400166</v>
      </c>
      <c r="M147" s="33">
        <v>0.8</v>
      </c>
      <c r="N147" s="33">
        <v>2.7</v>
      </c>
      <c r="O147" s="33">
        <v>15.9</v>
      </c>
      <c r="P147" s="39">
        <f t="shared" si="12"/>
        <v>0.159</v>
      </c>
    </row>
    <row r="148" spans="1:16" x14ac:dyDescent="0.25">
      <c r="A148" s="7"/>
      <c r="B148" s="2" t="s">
        <v>9</v>
      </c>
      <c r="C148" s="3">
        <v>1961.09</v>
      </c>
      <c r="D148" s="4" t="s">
        <v>1</v>
      </c>
      <c r="E148" s="4">
        <v>1000000</v>
      </c>
      <c r="F148" s="5">
        <v>1.0000000000000002E-13</v>
      </c>
      <c r="G148" s="6">
        <v>82.97</v>
      </c>
      <c r="H148" s="29">
        <f t="shared" si="10"/>
        <v>82.97</v>
      </c>
      <c r="I148" s="39">
        <f t="shared" si="9"/>
        <v>2.5374577090380157E-3</v>
      </c>
      <c r="J148" s="32">
        <v>8.0421000000000001E-11</v>
      </c>
      <c r="K148" s="41">
        <f t="shared" si="13"/>
        <v>1507.7618208406766</v>
      </c>
      <c r="L148" s="42">
        <f t="shared" si="11"/>
        <v>5.5028585319754786</v>
      </c>
      <c r="M148" s="33">
        <v>1</v>
      </c>
      <c r="N148" s="33">
        <v>3.8</v>
      </c>
      <c r="O148" s="33">
        <v>17</v>
      </c>
      <c r="P148" s="39">
        <f t="shared" si="12"/>
        <v>0.17</v>
      </c>
    </row>
    <row r="149" spans="1:16" x14ac:dyDescent="0.25">
      <c r="A149" s="7"/>
      <c r="B149" s="2" t="s">
        <v>10</v>
      </c>
      <c r="C149" s="3">
        <v>1961.1</v>
      </c>
      <c r="D149" s="4" t="s">
        <v>1</v>
      </c>
      <c r="E149" s="4">
        <v>1000000</v>
      </c>
      <c r="F149" s="5">
        <v>1.0000000000000002E-13</v>
      </c>
      <c r="G149" s="6">
        <v>83.03</v>
      </c>
      <c r="H149" s="29">
        <f t="shared" si="10"/>
        <v>83.03</v>
      </c>
      <c r="I149" s="39">
        <f t="shared" ref="I149:I212" si="14">+H149/H137-1</f>
        <v>2.172601086300574E-3</v>
      </c>
      <c r="J149" s="32">
        <v>8.0489999999999998E-11</v>
      </c>
      <c r="K149" s="41">
        <f t="shared" si="13"/>
        <v>1509.0554576474558</v>
      </c>
      <c r="L149" s="42">
        <f t="shared" si="11"/>
        <v>5.5021172071064735</v>
      </c>
      <c r="M149" s="33">
        <v>0.1</v>
      </c>
      <c r="N149" s="33">
        <v>3.8</v>
      </c>
      <c r="O149" s="33">
        <v>16.2</v>
      </c>
      <c r="P149" s="39">
        <f t="shared" si="12"/>
        <v>0.16200000000000001</v>
      </c>
    </row>
    <row r="150" spans="1:16" x14ac:dyDescent="0.25">
      <c r="A150" s="7"/>
      <c r="B150" s="2" t="s">
        <v>11</v>
      </c>
      <c r="C150" s="3">
        <v>1961.11</v>
      </c>
      <c r="D150" s="4" t="s">
        <v>1</v>
      </c>
      <c r="E150" s="4">
        <v>1000000</v>
      </c>
      <c r="F150" s="5">
        <v>1.0000000000000002E-13</v>
      </c>
      <c r="G150" s="6">
        <v>83.04</v>
      </c>
      <c r="H150" s="29">
        <f t="shared" si="10"/>
        <v>83.04</v>
      </c>
      <c r="I150" s="39">
        <f t="shared" si="14"/>
        <v>1.4471780028944004E-3</v>
      </c>
      <c r="J150" s="32">
        <v>8.3050900000000003E-11</v>
      </c>
      <c r="K150" s="41">
        <f t="shared" si="13"/>
        <v>1557.0681315384904</v>
      </c>
      <c r="L150" s="42">
        <f t="shared" si="11"/>
        <v>5.3330999664061443</v>
      </c>
      <c r="M150" s="33">
        <v>3.2</v>
      </c>
      <c r="N150" s="33">
        <v>7.1</v>
      </c>
      <c r="O150" s="33">
        <v>17</v>
      </c>
      <c r="P150" s="39">
        <f t="shared" si="12"/>
        <v>0.17</v>
      </c>
    </row>
    <row r="151" spans="1:16" x14ac:dyDescent="0.25">
      <c r="A151" s="7"/>
      <c r="B151" s="2" t="s">
        <v>12</v>
      </c>
      <c r="C151" s="3">
        <v>1961.12</v>
      </c>
      <c r="D151" s="4" t="s">
        <v>1</v>
      </c>
      <c r="E151" s="4">
        <v>1000000</v>
      </c>
      <c r="F151" s="5">
        <v>1.0000000000000002E-13</v>
      </c>
      <c r="G151" s="6">
        <v>82.84</v>
      </c>
      <c r="H151" s="29">
        <f t="shared" si="10"/>
        <v>82.84</v>
      </c>
      <c r="I151" s="39">
        <f t="shared" si="14"/>
        <v>-1.2070006034992087E-4</v>
      </c>
      <c r="J151" s="32">
        <v>9.0248600000000005E-11</v>
      </c>
      <c r="K151" s="41">
        <f t="shared" si="13"/>
        <v>1692.013198845101</v>
      </c>
      <c r="L151" s="42">
        <f t="shared" si="11"/>
        <v>4.8959428955130608</v>
      </c>
      <c r="M151" s="33">
        <v>8.6999999999999993</v>
      </c>
      <c r="N151" s="33">
        <v>16.399999999999999</v>
      </c>
      <c r="O151" s="33">
        <v>16.399999999999999</v>
      </c>
      <c r="P151" s="39">
        <f t="shared" si="12"/>
        <v>0.16399999999999998</v>
      </c>
    </row>
    <row r="152" spans="1:16" x14ac:dyDescent="0.25">
      <c r="A152" s="1">
        <v>1962.01</v>
      </c>
      <c r="B152" s="2" t="s">
        <v>13</v>
      </c>
      <c r="C152" s="3">
        <v>1962.01</v>
      </c>
      <c r="D152" s="4" t="s">
        <v>1</v>
      </c>
      <c r="E152" s="4">
        <v>1000000</v>
      </c>
      <c r="F152" s="5">
        <v>1.0000000000000002E-13</v>
      </c>
      <c r="G152" s="6">
        <v>83.04</v>
      </c>
      <c r="H152" s="29">
        <f t="shared" si="10"/>
        <v>83.04</v>
      </c>
      <c r="I152" s="39">
        <f t="shared" si="14"/>
        <v>3.7471292155204505E-3</v>
      </c>
      <c r="J152" s="32">
        <v>8.6649599999999995E-11</v>
      </c>
      <c r="K152" s="41">
        <f t="shared" si="13"/>
        <v>1624.5378529378679</v>
      </c>
      <c r="L152" s="42">
        <f t="shared" si="11"/>
        <v>5.1116075781076891</v>
      </c>
      <c r="M152" s="33">
        <v>-4</v>
      </c>
      <c r="N152" s="33">
        <v>-4</v>
      </c>
      <c r="O152" s="33">
        <v>19</v>
      </c>
      <c r="P152" s="39">
        <f t="shared" si="12"/>
        <v>0.19</v>
      </c>
    </row>
    <row r="153" spans="1:16" x14ac:dyDescent="0.25">
      <c r="A153" s="7"/>
      <c r="B153" s="2" t="s">
        <v>2</v>
      </c>
      <c r="C153" s="3">
        <v>1962.02</v>
      </c>
      <c r="D153" s="4" t="s">
        <v>1</v>
      </c>
      <c r="E153" s="4">
        <v>1000000</v>
      </c>
      <c r="F153" s="5">
        <v>1.0000000000000002E-13</v>
      </c>
      <c r="G153" s="6">
        <v>83.04</v>
      </c>
      <c r="H153" s="29">
        <f t="shared" si="10"/>
        <v>83.04</v>
      </c>
      <c r="I153" s="39">
        <f t="shared" si="14"/>
        <v>4.1112454655380937E-3</v>
      </c>
      <c r="J153" s="32">
        <v>8.7895599999999995E-11</v>
      </c>
      <c r="K153" s="41">
        <f t="shared" si="13"/>
        <v>1647.8983088979714</v>
      </c>
      <c r="L153" s="42">
        <f t="shared" si="11"/>
        <v>5.0391458958127595</v>
      </c>
      <c r="M153" s="33">
        <v>1.4</v>
      </c>
      <c r="N153" s="33">
        <v>-2.6</v>
      </c>
      <c r="O153" s="33">
        <v>19.2</v>
      </c>
      <c r="P153" s="39">
        <f t="shared" si="12"/>
        <v>0.192</v>
      </c>
    </row>
    <row r="154" spans="1:16" x14ac:dyDescent="0.25">
      <c r="A154" s="7"/>
      <c r="B154" s="2" t="s">
        <v>3</v>
      </c>
      <c r="C154" s="3">
        <v>1962.03</v>
      </c>
      <c r="D154" s="4" t="s">
        <v>1</v>
      </c>
      <c r="E154" s="4">
        <v>1000000</v>
      </c>
      <c r="F154" s="5">
        <v>1.0000000000000002E-13</v>
      </c>
      <c r="G154" s="6">
        <v>82.76</v>
      </c>
      <c r="H154" s="29">
        <f t="shared" si="10"/>
        <v>82.76</v>
      </c>
      <c r="I154" s="39">
        <f t="shared" si="14"/>
        <v>1.2084592145011896E-4</v>
      </c>
      <c r="J154" s="32">
        <v>8.9279499999999997E-11</v>
      </c>
      <c r="K154" s="41">
        <f t="shared" si="13"/>
        <v>1673.844163635682</v>
      </c>
      <c r="L154" s="42">
        <f t="shared" si="11"/>
        <v>4.9443073493915177</v>
      </c>
      <c r="M154" s="33">
        <v>1.6</v>
      </c>
      <c r="N154" s="33">
        <v>-1.1000000000000001</v>
      </c>
      <c r="O154" s="33">
        <v>19.8</v>
      </c>
      <c r="P154" s="39">
        <f t="shared" si="12"/>
        <v>0.19800000000000001</v>
      </c>
    </row>
    <row r="155" spans="1:16" x14ac:dyDescent="0.25">
      <c r="A155" s="7"/>
      <c r="B155" s="2" t="s">
        <v>4</v>
      </c>
      <c r="C155" s="3">
        <v>1962.04</v>
      </c>
      <c r="D155" s="4" t="s">
        <v>1</v>
      </c>
      <c r="E155" s="4">
        <v>1000000</v>
      </c>
      <c r="F155" s="5">
        <v>1.0000000000000002E-13</v>
      </c>
      <c r="G155" s="6">
        <v>95.38</v>
      </c>
      <c r="H155" s="29">
        <f t="shared" si="10"/>
        <v>95.38</v>
      </c>
      <c r="I155" s="39">
        <f t="shared" si="14"/>
        <v>0.15123717561858774</v>
      </c>
      <c r="J155" s="32">
        <v>9.2186399999999997E-11</v>
      </c>
      <c r="K155" s="41">
        <f t="shared" si="13"/>
        <v>1728.343769920132</v>
      </c>
      <c r="L155" s="42">
        <f t="shared" si="11"/>
        <v>5.5185780548974686</v>
      </c>
      <c r="M155" s="33">
        <v>3.3</v>
      </c>
      <c r="N155" s="33">
        <v>2.1</v>
      </c>
      <c r="O155" s="33">
        <v>21</v>
      </c>
      <c r="P155" s="39">
        <f t="shared" si="12"/>
        <v>0.21</v>
      </c>
    </row>
    <row r="156" spans="1:16" x14ac:dyDescent="0.25">
      <c r="A156" s="7"/>
      <c r="B156" s="2" t="s">
        <v>5</v>
      </c>
      <c r="C156" s="3">
        <v>1962.05</v>
      </c>
      <c r="D156" s="4" t="s">
        <v>1</v>
      </c>
      <c r="E156" s="4">
        <v>1000000</v>
      </c>
      <c r="F156" s="5">
        <v>1.0000000000000002E-13</v>
      </c>
      <c r="G156" s="6">
        <v>105.44</v>
      </c>
      <c r="H156" s="29">
        <f t="shared" si="10"/>
        <v>105.44</v>
      </c>
      <c r="I156" s="39">
        <f t="shared" si="14"/>
        <v>0.27143373929820314</v>
      </c>
      <c r="J156" s="32">
        <v>9.5370099999999996E-11</v>
      </c>
      <c r="K156" s="41">
        <f t="shared" si="13"/>
        <v>1788.0329221193147</v>
      </c>
      <c r="L156" s="42">
        <f t="shared" si="11"/>
        <v>5.8969831425153165</v>
      </c>
      <c r="M156" s="33">
        <v>3.5</v>
      </c>
      <c r="N156" s="33">
        <v>5.7</v>
      </c>
      <c r="O156" s="33">
        <v>24.3</v>
      </c>
      <c r="P156" s="39">
        <f t="shared" si="12"/>
        <v>0.24299999999999999</v>
      </c>
    </row>
    <row r="157" spans="1:16" x14ac:dyDescent="0.25">
      <c r="A157" s="7"/>
      <c r="B157" s="2" t="s">
        <v>6</v>
      </c>
      <c r="C157" s="3">
        <v>1962.06</v>
      </c>
      <c r="D157" s="4" t="s">
        <v>1</v>
      </c>
      <c r="E157" s="4">
        <v>1000000</v>
      </c>
      <c r="F157" s="5">
        <v>1.0000000000000002E-13</v>
      </c>
      <c r="G157" s="6">
        <v>117.55</v>
      </c>
      <c r="H157" s="29">
        <f t="shared" si="10"/>
        <v>117.55</v>
      </c>
      <c r="I157" s="39">
        <f t="shared" si="14"/>
        <v>0.42071549431955524</v>
      </c>
      <c r="J157" s="32">
        <v>9.6754100000000004E-11</v>
      </c>
      <c r="K157" s="41">
        <f t="shared" si="13"/>
        <v>1813.9806516929771</v>
      </c>
      <c r="L157" s="42">
        <f t="shared" si="11"/>
        <v>6.480223473733929</v>
      </c>
      <c r="M157" s="33">
        <v>1.5</v>
      </c>
      <c r="N157" s="33">
        <v>7.2</v>
      </c>
      <c r="O157" s="33">
        <v>24.4</v>
      </c>
      <c r="P157" s="39">
        <f t="shared" si="12"/>
        <v>0.24399999999999999</v>
      </c>
    </row>
    <row r="158" spans="1:16" x14ac:dyDescent="0.25">
      <c r="A158" s="7"/>
      <c r="B158" s="2" t="s">
        <v>7</v>
      </c>
      <c r="C158" s="3">
        <v>1962.07</v>
      </c>
      <c r="D158" s="4" t="s">
        <v>1</v>
      </c>
      <c r="E158" s="4">
        <v>1000000</v>
      </c>
      <c r="F158" s="5">
        <v>1.0000000000000002E-13</v>
      </c>
      <c r="G158" s="6">
        <v>122.14</v>
      </c>
      <c r="H158" s="29">
        <f t="shared" si="10"/>
        <v>122.14</v>
      </c>
      <c r="I158" s="39">
        <f t="shared" si="14"/>
        <v>0.47779794313369628</v>
      </c>
      <c r="J158" s="32">
        <v>1.011145E-10</v>
      </c>
      <c r="K158" s="41">
        <f t="shared" si="13"/>
        <v>1895.730998537628</v>
      </c>
      <c r="L158" s="42">
        <f t="shared" si="11"/>
        <v>6.4428972303675529</v>
      </c>
      <c r="M158" s="33">
        <v>4.5</v>
      </c>
      <c r="N158" s="33">
        <v>12</v>
      </c>
      <c r="O158" s="33">
        <v>28</v>
      </c>
      <c r="P158" s="39">
        <f t="shared" si="12"/>
        <v>0.28000000000000003</v>
      </c>
    </row>
    <row r="159" spans="1:16" x14ac:dyDescent="0.25">
      <c r="A159" s="7"/>
      <c r="B159" s="2" t="s">
        <v>8</v>
      </c>
      <c r="C159" s="3">
        <v>1962.08</v>
      </c>
      <c r="D159" s="4" t="s">
        <v>1</v>
      </c>
      <c r="E159" s="4">
        <v>1000000</v>
      </c>
      <c r="F159" s="5">
        <v>1.0000000000000002E-13</v>
      </c>
      <c r="G159" s="6">
        <v>123.6</v>
      </c>
      <c r="H159" s="29">
        <f t="shared" si="10"/>
        <v>123.6</v>
      </c>
      <c r="I159" s="39">
        <f t="shared" si="14"/>
        <v>0.49383611312545317</v>
      </c>
      <c r="J159" s="32">
        <v>1.024294E-10</v>
      </c>
      <c r="K159" s="41">
        <f t="shared" si="13"/>
        <v>1920.3832164685591</v>
      </c>
      <c r="L159" s="42">
        <f t="shared" si="11"/>
        <v>6.4362153834738853</v>
      </c>
      <c r="M159" s="33">
        <v>1.3</v>
      </c>
      <c r="N159" s="33">
        <v>13.5</v>
      </c>
      <c r="O159" s="33">
        <v>28.7</v>
      </c>
      <c r="P159" s="39">
        <f t="shared" si="12"/>
        <v>0.28699999999999998</v>
      </c>
    </row>
    <row r="160" spans="1:16" x14ac:dyDescent="0.25">
      <c r="A160" s="7"/>
      <c r="B160" s="2" t="s">
        <v>9</v>
      </c>
      <c r="C160" s="3">
        <v>1962.09</v>
      </c>
      <c r="D160" s="4" t="s">
        <v>1</v>
      </c>
      <c r="E160" s="4">
        <v>1000000</v>
      </c>
      <c r="F160" s="5">
        <v>1.0000000000000002E-13</v>
      </c>
      <c r="G160" s="6">
        <v>127.43</v>
      </c>
      <c r="H160" s="29">
        <f t="shared" si="10"/>
        <v>127.43</v>
      </c>
      <c r="I160" s="39">
        <f t="shared" si="14"/>
        <v>0.53585633361455964</v>
      </c>
      <c r="J160" s="32">
        <v>1.062173E-10</v>
      </c>
      <c r="K160" s="41">
        <f t="shared" si="13"/>
        <v>1991.4001274888449</v>
      </c>
      <c r="L160" s="42">
        <f t="shared" si="11"/>
        <v>6.399015358138457</v>
      </c>
      <c r="M160" s="33">
        <v>3.7</v>
      </c>
      <c r="N160" s="33">
        <v>17.7</v>
      </c>
      <c r="O160" s="33">
        <v>32.1</v>
      </c>
      <c r="P160" s="39">
        <f t="shared" si="12"/>
        <v>0.32100000000000001</v>
      </c>
    </row>
    <row r="161" spans="1:16" x14ac:dyDescent="0.25">
      <c r="A161" s="7"/>
      <c r="B161" s="2" t="s">
        <v>10</v>
      </c>
      <c r="C161" s="3">
        <v>1962.1</v>
      </c>
      <c r="D161" s="4" t="s">
        <v>1</v>
      </c>
      <c r="E161" s="4">
        <v>1000000</v>
      </c>
      <c r="F161" s="5">
        <v>1.0000000000000002E-13</v>
      </c>
      <c r="G161" s="6">
        <v>135.75</v>
      </c>
      <c r="H161" s="29">
        <f t="shared" si="10"/>
        <v>135.75</v>
      </c>
      <c r="I161" s="39">
        <f t="shared" si="14"/>
        <v>0.63495122244971691</v>
      </c>
      <c r="J161" s="32">
        <v>1.080355E-10</v>
      </c>
      <c r="K161" s="41">
        <f t="shared" si="13"/>
        <v>2025.488394765458</v>
      </c>
      <c r="L161" s="42">
        <f t="shared" si="11"/>
        <v>6.7020872768673261</v>
      </c>
      <c r="M161" s="33">
        <v>1.7</v>
      </c>
      <c r="N161" s="33">
        <v>19.7</v>
      </c>
      <c r="O161" s="33">
        <v>34.200000000000003</v>
      </c>
      <c r="P161" s="39">
        <f t="shared" si="12"/>
        <v>0.34200000000000003</v>
      </c>
    </row>
    <row r="162" spans="1:16" x14ac:dyDescent="0.25">
      <c r="A162" s="7"/>
      <c r="B162" s="2" t="s">
        <v>11</v>
      </c>
      <c r="C162" s="3">
        <v>1962.11</v>
      </c>
      <c r="D162" s="4" t="s">
        <v>1</v>
      </c>
      <c r="E162" s="4">
        <v>1000000</v>
      </c>
      <c r="F162" s="5">
        <v>1.0000000000000002E-13</v>
      </c>
      <c r="G162" s="6">
        <v>146.93</v>
      </c>
      <c r="H162" s="29">
        <f t="shared" si="10"/>
        <v>146.93</v>
      </c>
      <c r="I162" s="39">
        <f t="shared" si="14"/>
        <v>0.76938824662813099</v>
      </c>
      <c r="J162" s="32">
        <v>1.0748160000000001E-10</v>
      </c>
      <c r="K162" s="41">
        <f t="shared" si="13"/>
        <v>2015.1036784281378</v>
      </c>
      <c r="L162" s="42">
        <f t="shared" si="11"/>
        <v>7.2914362458318447</v>
      </c>
      <c r="M162" s="33">
        <v>-0.5</v>
      </c>
      <c r="N162" s="33">
        <v>19.100000000000001</v>
      </c>
      <c r="O162" s="33">
        <v>29.4</v>
      </c>
      <c r="P162" s="39">
        <f t="shared" si="12"/>
        <v>0.29399999999999998</v>
      </c>
    </row>
    <row r="163" spans="1:16" x14ac:dyDescent="0.25">
      <c r="A163" s="7"/>
      <c r="B163" s="2" t="s">
        <v>12</v>
      </c>
      <c r="C163" s="3">
        <v>1962.12</v>
      </c>
      <c r="D163" s="4" t="s">
        <v>1</v>
      </c>
      <c r="E163" s="4">
        <v>1000000</v>
      </c>
      <c r="F163" s="5">
        <v>1.0000000000000002E-13</v>
      </c>
      <c r="G163" s="6">
        <v>141.65</v>
      </c>
      <c r="H163" s="29">
        <f t="shared" si="10"/>
        <v>141.65</v>
      </c>
      <c r="I163" s="39">
        <f t="shared" si="14"/>
        <v>0.70992274263640742</v>
      </c>
      <c r="J163" s="32">
        <v>1.1793230000000001E-10</v>
      </c>
      <c r="K163" s="41">
        <f t="shared" si="13"/>
        <v>2211.0371592485658</v>
      </c>
      <c r="L163" s="42">
        <f t="shared" si="11"/>
        <v>6.4064956759089755</v>
      </c>
      <c r="M163" s="33">
        <v>9.6999999999999993</v>
      </c>
      <c r="N163" s="33">
        <v>30.7</v>
      </c>
      <c r="O163" s="33">
        <v>30.7</v>
      </c>
      <c r="P163" s="39">
        <f t="shared" si="12"/>
        <v>0.307</v>
      </c>
    </row>
    <row r="164" spans="1:16" x14ac:dyDescent="0.25">
      <c r="A164" s="1">
        <v>1963.01</v>
      </c>
      <c r="B164" s="2" t="s">
        <v>13</v>
      </c>
      <c r="C164" s="3">
        <v>1963.01</v>
      </c>
      <c r="D164" s="4" t="s">
        <v>1</v>
      </c>
      <c r="E164" s="4">
        <v>1000000</v>
      </c>
      <c r="F164" s="5">
        <v>1.0000000000000002E-13</v>
      </c>
      <c r="G164" s="6">
        <v>134</v>
      </c>
      <c r="H164" s="29">
        <f t="shared" si="10"/>
        <v>134</v>
      </c>
      <c r="I164" s="39">
        <f t="shared" si="14"/>
        <v>0.61368015414258181</v>
      </c>
      <c r="J164" s="32">
        <v>1.130877E-10</v>
      </c>
      <c r="K164" s="41">
        <f t="shared" si="13"/>
        <v>2120.2088567250366</v>
      </c>
      <c r="L164" s="42">
        <f t="shared" si="11"/>
        <v>6.3201320744873222</v>
      </c>
      <c r="M164" s="33">
        <v>-4.0999999999999996</v>
      </c>
      <c r="N164" s="33">
        <v>-4.0999999999999996</v>
      </c>
      <c r="O164" s="33">
        <v>30.5</v>
      </c>
      <c r="P164" s="39">
        <f t="shared" si="12"/>
        <v>0.30499999999999999</v>
      </c>
    </row>
    <row r="165" spans="1:16" x14ac:dyDescent="0.25">
      <c r="A165" s="7"/>
      <c r="B165" s="2" t="s">
        <v>2</v>
      </c>
      <c r="C165" s="3">
        <v>1963.02</v>
      </c>
      <c r="D165" s="4" t="s">
        <v>1</v>
      </c>
      <c r="E165" s="4">
        <v>1000000</v>
      </c>
      <c r="F165" s="5">
        <v>1.0000000000000002E-13</v>
      </c>
      <c r="G165" s="6">
        <v>134.58000000000001</v>
      </c>
      <c r="H165" s="29">
        <f t="shared" si="10"/>
        <v>134.58000000000001</v>
      </c>
      <c r="I165" s="39">
        <f t="shared" si="14"/>
        <v>0.62066473988439319</v>
      </c>
      <c r="J165" s="32">
        <v>1.141257E-10</v>
      </c>
      <c r="K165" s="41">
        <f t="shared" si="13"/>
        <v>2139.6696539052832</v>
      </c>
      <c r="L165" s="42">
        <f t="shared" si="11"/>
        <v>6.2897559795909261</v>
      </c>
      <c r="M165" s="33">
        <v>0.9</v>
      </c>
      <c r="N165" s="33">
        <v>-3.2</v>
      </c>
      <c r="O165" s="33">
        <v>29.8</v>
      </c>
      <c r="P165" s="39">
        <f t="shared" si="12"/>
        <v>0.29799999999999999</v>
      </c>
    </row>
    <row r="166" spans="1:16" x14ac:dyDescent="0.25">
      <c r="A166" s="7"/>
      <c r="B166" s="2" t="s">
        <v>3</v>
      </c>
      <c r="C166" s="3">
        <v>1963.03</v>
      </c>
      <c r="D166" s="4" t="s">
        <v>1</v>
      </c>
      <c r="E166" s="4">
        <v>1000000</v>
      </c>
      <c r="F166" s="5">
        <v>1.0000000000000002E-13</v>
      </c>
      <c r="G166" s="6">
        <v>136.11000000000001</v>
      </c>
      <c r="H166" s="29">
        <f t="shared" si="10"/>
        <v>136.11000000000001</v>
      </c>
      <c r="I166" s="39">
        <f t="shared" si="14"/>
        <v>0.64463508941517644</v>
      </c>
      <c r="J166" s="32">
        <v>1.1952389999999999E-10</v>
      </c>
      <c r="K166" s="41">
        <f t="shared" si="13"/>
        <v>2240.8770482582772</v>
      </c>
      <c r="L166" s="42">
        <f t="shared" si="11"/>
        <v>6.0739610906270638</v>
      </c>
      <c r="M166" s="33">
        <v>4.7</v>
      </c>
      <c r="N166" s="33">
        <v>1.3</v>
      </c>
      <c r="O166" s="33">
        <v>33.9</v>
      </c>
      <c r="P166" s="39">
        <f t="shared" si="12"/>
        <v>0.33899999999999997</v>
      </c>
    </row>
    <row r="167" spans="1:16" x14ac:dyDescent="0.25">
      <c r="A167" s="7"/>
      <c r="B167" s="2" t="s">
        <v>4</v>
      </c>
      <c r="C167" s="3">
        <v>1963.04</v>
      </c>
      <c r="D167" s="4" t="s">
        <v>1</v>
      </c>
      <c r="E167" s="4">
        <v>1000000</v>
      </c>
      <c r="F167" s="5">
        <v>1.0000000000000002E-13</v>
      </c>
      <c r="G167" s="6">
        <v>137.46</v>
      </c>
      <c r="H167" s="29">
        <f t="shared" si="10"/>
        <v>137.46</v>
      </c>
      <c r="I167" s="39">
        <f t="shared" si="14"/>
        <v>0.44118263786957446</v>
      </c>
      <c r="J167" s="32">
        <v>1.2139269999999999E-10</v>
      </c>
      <c r="K167" s="41">
        <f t="shared" si="13"/>
        <v>2275.9139825265288</v>
      </c>
      <c r="L167" s="42">
        <f t="shared" si="11"/>
        <v>6.0397713206807335</v>
      </c>
      <c r="M167" s="33">
        <v>1.6</v>
      </c>
      <c r="N167" s="33">
        <v>2.9</v>
      </c>
      <c r="O167" s="33">
        <v>31.7</v>
      </c>
      <c r="P167" s="39">
        <f t="shared" si="12"/>
        <v>0.317</v>
      </c>
    </row>
    <row r="168" spans="1:16" x14ac:dyDescent="0.25">
      <c r="A168" s="7"/>
      <c r="B168" s="2" t="s">
        <v>5</v>
      </c>
      <c r="C168" s="3">
        <v>1963.05</v>
      </c>
      <c r="D168" s="4" t="s">
        <v>1</v>
      </c>
      <c r="E168" s="4">
        <v>1000000</v>
      </c>
      <c r="F168" s="5">
        <v>1.0000000000000002E-13</v>
      </c>
      <c r="G168" s="6">
        <v>137.81</v>
      </c>
      <c r="H168" s="29">
        <f t="shared" si="10"/>
        <v>137.81</v>
      </c>
      <c r="I168" s="39">
        <f t="shared" si="14"/>
        <v>0.30699924127465872</v>
      </c>
      <c r="J168" s="32">
        <v>1.2139269999999999E-10</v>
      </c>
      <c r="K168" s="41">
        <f t="shared" si="13"/>
        <v>2275.9139825265288</v>
      </c>
      <c r="L168" s="42">
        <f t="shared" si="11"/>
        <v>6.0551497577696196</v>
      </c>
      <c r="M168" s="33">
        <v>0</v>
      </c>
      <c r="N168" s="33">
        <v>2.9</v>
      </c>
      <c r="O168" s="33">
        <v>27.3</v>
      </c>
      <c r="P168" s="39">
        <f t="shared" si="12"/>
        <v>0.27300000000000002</v>
      </c>
    </row>
    <row r="169" spans="1:16" x14ac:dyDescent="0.25">
      <c r="A169" s="7"/>
      <c r="B169" s="2" t="s">
        <v>6</v>
      </c>
      <c r="C169" s="3">
        <v>1963.06</v>
      </c>
      <c r="D169" s="4" t="s">
        <v>1</v>
      </c>
      <c r="E169" s="4">
        <v>1000000</v>
      </c>
      <c r="F169" s="5">
        <v>1.0000000000000002E-13</v>
      </c>
      <c r="G169" s="6">
        <v>137.86000000000001</v>
      </c>
      <c r="H169" s="29">
        <f t="shared" si="10"/>
        <v>137.86000000000001</v>
      </c>
      <c r="I169" s="39">
        <f t="shared" si="14"/>
        <v>0.17277754147171431</v>
      </c>
      <c r="J169" s="32">
        <v>1.2277690000000001E-10</v>
      </c>
      <c r="K169" s="41">
        <f t="shared" si="13"/>
        <v>2301.8654617720954</v>
      </c>
      <c r="L169" s="42">
        <f t="shared" si="11"/>
        <v>5.9890554982248281</v>
      </c>
      <c r="M169" s="33">
        <v>1.1000000000000001</v>
      </c>
      <c r="N169" s="33">
        <v>4.0999999999999996</v>
      </c>
      <c r="O169" s="33">
        <v>26.9</v>
      </c>
      <c r="P169" s="39">
        <f t="shared" si="12"/>
        <v>0.26899999999999996</v>
      </c>
    </row>
    <row r="170" spans="1:16" x14ac:dyDescent="0.25">
      <c r="A170" s="7"/>
      <c r="B170" s="2" t="s">
        <v>7</v>
      </c>
      <c r="C170" s="3">
        <v>1963.07</v>
      </c>
      <c r="D170" s="4" t="s">
        <v>1</v>
      </c>
      <c r="E170" s="4">
        <v>1000000</v>
      </c>
      <c r="F170" s="5">
        <v>1.0000000000000002E-13</v>
      </c>
      <c r="G170" s="6">
        <v>137.03</v>
      </c>
      <c r="H170" s="29">
        <f t="shared" si="10"/>
        <v>137.03</v>
      </c>
      <c r="I170" s="39">
        <f t="shared" si="14"/>
        <v>0.12190928442770588</v>
      </c>
      <c r="J170" s="32">
        <v>1.2464540000000001E-10</v>
      </c>
      <c r="K170" s="41">
        <f t="shared" si="13"/>
        <v>2336.8967715324911</v>
      </c>
      <c r="L170" s="42">
        <f t="shared" si="11"/>
        <v>5.8637592241671168</v>
      </c>
      <c r="M170" s="33">
        <v>1.5</v>
      </c>
      <c r="N170" s="33">
        <v>5.7</v>
      </c>
      <c r="O170" s="33">
        <v>23.3</v>
      </c>
      <c r="P170" s="39">
        <f t="shared" si="12"/>
        <v>0.23300000000000001</v>
      </c>
    </row>
    <row r="171" spans="1:16" x14ac:dyDescent="0.25">
      <c r="A171" s="7"/>
      <c r="B171" s="2" t="s">
        <v>8</v>
      </c>
      <c r="C171" s="3">
        <v>1963.08</v>
      </c>
      <c r="D171" s="4" t="s">
        <v>1</v>
      </c>
      <c r="E171" s="4">
        <v>1000000</v>
      </c>
      <c r="F171" s="5">
        <v>1.0000000000000002E-13</v>
      </c>
      <c r="G171" s="6">
        <v>134.65</v>
      </c>
      <c r="H171" s="29">
        <f t="shared" si="10"/>
        <v>134.65</v>
      </c>
      <c r="I171" s="39">
        <f t="shared" si="14"/>
        <v>8.9401294498381967E-2</v>
      </c>
      <c r="J171" s="32">
        <v>1.251993E-10</v>
      </c>
      <c r="K171" s="41">
        <f t="shared" si="13"/>
        <v>2347.2814878698114</v>
      </c>
      <c r="L171" s="42">
        <f t="shared" si="11"/>
        <v>5.7364232068390164</v>
      </c>
      <c r="M171" s="33">
        <v>0.4</v>
      </c>
      <c r="N171" s="33">
        <v>6.2</v>
      </c>
      <c r="O171" s="33">
        <v>22.2</v>
      </c>
      <c r="P171" s="39">
        <f t="shared" si="12"/>
        <v>0.222</v>
      </c>
    </row>
    <row r="172" spans="1:16" x14ac:dyDescent="0.25">
      <c r="A172" s="7"/>
      <c r="B172" s="2" t="s">
        <v>9</v>
      </c>
      <c r="C172" s="3">
        <v>1963.09</v>
      </c>
      <c r="D172" s="4" t="s">
        <v>1</v>
      </c>
      <c r="E172" s="4">
        <v>1000000</v>
      </c>
      <c r="F172" s="5">
        <v>1.0000000000000002E-13</v>
      </c>
      <c r="G172" s="6">
        <v>142.75</v>
      </c>
      <c r="H172" s="29">
        <f t="shared" si="10"/>
        <v>142.75</v>
      </c>
      <c r="I172" s="39">
        <f t="shared" si="14"/>
        <v>0.12022286745664279</v>
      </c>
      <c r="J172" s="32">
        <v>1.2713700000000001E-10</v>
      </c>
      <c r="K172" s="41">
        <f t="shared" si="13"/>
        <v>2383.6101841088907</v>
      </c>
      <c r="L172" s="42">
        <f t="shared" si="11"/>
        <v>5.9888148218063968</v>
      </c>
      <c r="M172" s="33">
        <v>1.5</v>
      </c>
      <c r="N172" s="33">
        <v>7.8</v>
      </c>
      <c r="O172" s="33">
        <v>19.7</v>
      </c>
      <c r="P172" s="39">
        <f t="shared" si="12"/>
        <v>0.19699999999999998</v>
      </c>
    </row>
    <row r="173" spans="1:16" x14ac:dyDescent="0.25">
      <c r="A173" s="7"/>
      <c r="B173" s="2" t="s">
        <v>10</v>
      </c>
      <c r="C173" s="3">
        <v>1963.1</v>
      </c>
      <c r="D173" s="4" t="s">
        <v>1</v>
      </c>
      <c r="E173" s="4">
        <v>1000000</v>
      </c>
      <c r="F173" s="5">
        <v>1.0000000000000002E-13</v>
      </c>
      <c r="G173" s="6">
        <v>148</v>
      </c>
      <c r="H173" s="29">
        <f t="shared" si="10"/>
        <v>148</v>
      </c>
      <c r="I173" s="39">
        <f t="shared" si="14"/>
        <v>9.0239410681399734E-2</v>
      </c>
      <c r="J173" s="32">
        <v>1.3108190000000001E-10</v>
      </c>
      <c r="K173" s="41">
        <f t="shared" si="13"/>
        <v>2457.5705875735875</v>
      </c>
      <c r="L173" s="42">
        <f t="shared" si="11"/>
        <v>6.0222074901264016</v>
      </c>
      <c r="M173" s="33">
        <v>3.1</v>
      </c>
      <c r="N173" s="33">
        <v>11.2</v>
      </c>
      <c r="O173" s="33">
        <v>21.3</v>
      </c>
      <c r="P173" s="39">
        <f t="shared" si="12"/>
        <v>0.21299999999999999</v>
      </c>
    </row>
    <row r="174" spans="1:16" x14ac:dyDescent="0.25">
      <c r="A174" s="7"/>
      <c r="B174" s="2" t="s">
        <v>11</v>
      </c>
      <c r="C174" s="3">
        <v>1963.11</v>
      </c>
      <c r="D174" s="4" t="s">
        <v>1</v>
      </c>
      <c r="E174" s="4">
        <v>1000000</v>
      </c>
      <c r="F174" s="5">
        <v>1.0000000000000002E-13</v>
      </c>
      <c r="G174" s="6">
        <v>143.72999999999999</v>
      </c>
      <c r="H174" s="29">
        <f t="shared" si="10"/>
        <v>143.72999999999999</v>
      </c>
      <c r="I174" s="39">
        <f t="shared" si="14"/>
        <v>-2.1779078472742186E-2</v>
      </c>
      <c r="J174" s="32">
        <v>1.34404E-10</v>
      </c>
      <c r="K174" s="41">
        <f t="shared" si="13"/>
        <v>2519.8545127301363</v>
      </c>
      <c r="L174" s="42">
        <f t="shared" si="11"/>
        <v>5.7039007321210669</v>
      </c>
      <c r="M174" s="33">
        <v>2.5</v>
      </c>
      <c r="N174" s="33">
        <v>14</v>
      </c>
      <c r="O174" s="33">
        <v>25</v>
      </c>
      <c r="P174" s="39">
        <f t="shared" si="12"/>
        <v>0.25</v>
      </c>
    </row>
    <row r="175" spans="1:16" x14ac:dyDescent="0.25">
      <c r="A175" s="7"/>
      <c r="B175" s="2" t="s">
        <v>12</v>
      </c>
      <c r="C175" s="3">
        <v>1963.12</v>
      </c>
      <c r="D175" s="4" t="s">
        <v>1</v>
      </c>
      <c r="E175" s="4">
        <v>1000000</v>
      </c>
      <c r="F175" s="5">
        <v>1.0000000000000002E-13</v>
      </c>
      <c r="G175" s="6">
        <v>135.55000000000001</v>
      </c>
      <c r="H175" s="29">
        <f t="shared" si="10"/>
        <v>135.55000000000001</v>
      </c>
      <c r="I175" s="39">
        <f t="shared" si="14"/>
        <v>-4.3063889869396355E-2</v>
      </c>
      <c r="J175" s="32">
        <v>1.4603130000000001E-10</v>
      </c>
      <c r="K175" s="41">
        <f t="shared" si="13"/>
        <v>2737.8473133600814</v>
      </c>
      <c r="L175" s="42">
        <f t="shared" si="11"/>
        <v>4.9509700317671621</v>
      </c>
      <c r="M175" s="33">
        <v>8.6999999999999993</v>
      </c>
      <c r="N175" s="33">
        <v>23.8</v>
      </c>
      <c r="O175" s="33">
        <v>23.8</v>
      </c>
      <c r="P175" s="39">
        <f t="shared" si="12"/>
        <v>0.23800000000000002</v>
      </c>
    </row>
    <row r="176" spans="1:16" x14ac:dyDescent="0.25">
      <c r="A176" s="1">
        <v>1964.01</v>
      </c>
      <c r="B176" s="2" t="s">
        <v>0</v>
      </c>
      <c r="C176" s="3">
        <v>1964.01</v>
      </c>
      <c r="D176" s="4" t="s">
        <v>1</v>
      </c>
      <c r="E176" s="4">
        <v>1000000</v>
      </c>
      <c r="F176" s="5">
        <v>1.0000000000000002E-13</v>
      </c>
      <c r="G176" s="6">
        <v>133.38</v>
      </c>
      <c r="H176" s="29">
        <f t="shared" si="10"/>
        <v>133.38</v>
      </c>
      <c r="I176" s="39">
        <f t="shared" si="14"/>
        <v>-4.6268656716418333E-3</v>
      </c>
      <c r="J176" s="32">
        <v>1.453389E-10</v>
      </c>
      <c r="K176" s="41">
        <f t="shared" si="13"/>
        <v>2724.8659492294423</v>
      </c>
      <c r="L176" s="42">
        <f t="shared" si="11"/>
        <v>4.8949196945896798</v>
      </c>
      <c r="M176" s="33">
        <v>-0.5</v>
      </c>
      <c r="N176" s="33">
        <v>-0.5</v>
      </c>
      <c r="O176" s="33">
        <v>28.5</v>
      </c>
      <c r="P176" s="39">
        <f t="shared" si="12"/>
        <v>0.28499999999999998</v>
      </c>
    </row>
    <row r="177" spans="1:16" x14ac:dyDescent="0.25">
      <c r="A177" s="7"/>
      <c r="B177" s="2" t="s">
        <v>2</v>
      </c>
      <c r="C177" s="3">
        <v>1964.02</v>
      </c>
      <c r="D177" s="4" t="s">
        <v>1</v>
      </c>
      <c r="E177" s="4">
        <v>1000000</v>
      </c>
      <c r="F177" s="5">
        <v>1.0000000000000002E-13</v>
      </c>
      <c r="G177" s="6">
        <v>132.08000000000001</v>
      </c>
      <c r="H177" s="29">
        <f t="shared" si="10"/>
        <v>132.08000000000001</v>
      </c>
      <c r="I177" s="39">
        <f t="shared" si="14"/>
        <v>-1.857631148759098E-2</v>
      </c>
      <c r="J177" s="32">
        <v>1.4423149999999999E-10</v>
      </c>
      <c r="K177" s="41">
        <f t="shared" si="13"/>
        <v>2704.1040158986088</v>
      </c>
      <c r="L177" s="42">
        <f t="shared" si="11"/>
        <v>4.8844274933007013</v>
      </c>
      <c r="M177" s="33">
        <v>-0.8</v>
      </c>
      <c r="N177" s="33">
        <v>-1.2</v>
      </c>
      <c r="O177" s="33">
        <v>26.4</v>
      </c>
      <c r="P177" s="39">
        <f t="shared" si="12"/>
        <v>0.26400000000000001</v>
      </c>
    </row>
    <row r="178" spans="1:16" x14ac:dyDescent="0.25">
      <c r="A178" s="7"/>
      <c r="B178" s="2" t="s">
        <v>3</v>
      </c>
      <c r="C178" s="3">
        <v>1964.03</v>
      </c>
      <c r="D178" s="4" t="s">
        <v>1</v>
      </c>
      <c r="E178" s="4">
        <v>1000000</v>
      </c>
      <c r="F178" s="5">
        <v>1.0000000000000002E-13</v>
      </c>
      <c r="G178" s="6">
        <v>134.75</v>
      </c>
      <c r="H178" s="29">
        <f t="shared" si="10"/>
        <v>134.75</v>
      </c>
      <c r="I178" s="39">
        <f t="shared" si="14"/>
        <v>-9.9919183013740254E-3</v>
      </c>
      <c r="J178" s="32">
        <v>1.4381630000000001E-10</v>
      </c>
      <c r="K178" s="41">
        <f t="shared" si="13"/>
        <v>2696.3196970265103</v>
      </c>
      <c r="L178" s="42">
        <f t="shared" si="11"/>
        <v>4.9975527808739342</v>
      </c>
      <c r="M178" s="33">
        <v>-0.3</v>
      </c>
      <c r="N178" s="33">
        <v>-1.5</v>
      </c>
      <c r="O178" s="33">
        <v>20.3</v>
      </c>
      <c r="P178" s="39">
        <f t="shared" si="12"/>
        <v>0.20300000000000001</v>
      </c>
    </row>
    <row r="179" spans="1:16" x14ac:dyDescent="0.25">
      <c r="A179" s="7"/>
      <c r="B179" s="2" t="s">
        <v>4</v>
      </c>
      <c r="C179" s="3">
        <v>1964.04</v>
      </c>
      <c r="D179" s="4" t="s">
        <v>1</v>
      </c>
      <c r="E179" s="4">
        <v>1000000</v>
      </c>
      <c r="F179" s="5">
        <v>1.0000000000000002E-13</v>
      </c>
      <c r="G179" s="6">
        <v>137.44</v>
      </c>
      <c r="H179" s="29">
        <f t="shared" si="10"/>
        <v>137.44</v>
      </c>
      <c r="I179" s="39">
        <f t="shared" si="14"/>
        <v>-1.4549687181730775E-4</v>
      </c>
      <c r="J179" s="32">
        <v>1.4935300000000001E-10</v>
      </c>
      <c r="K179" s="41">
        <f t="shared" si="13"/>
        <v>2800.1237391728228</v>
      </c>
      <c r="L179" s="42">
        <f t="shared" si="11"/>
        <v>4.9083545158115331</v>
      </c>
      <c r="M179" s="33">
        <v>3.8</v>
      </c>
      <c r="N179" s="33">
        <v>2.2999999999999998</v>
      </c>
      <c r="O179" s="33">
        <v>23</v>
      </c>
      <c r="P179" s="39">
        <f t="shared" si="12"/>
        <v>0.23</v>
      </c>
    </row>
    <row r="180" spans="1:16" x14ac:dyDescent="0.25">
      <c r="A180" s="7"/>
      <c r="B180" s="2" t="s">
        <v>5</v>
      </c>
      <c r="C180" s="3">
        <v>1964.05</v>
      </c>
      <c r="D180" s="4" t="s">
        <v>1</v>
      </c>
      <c r="E180" s="4">
        <v>1000000</v>
      </c>
      <c r="F180" s="5">
        <v>1.0000000000000002E-13</v>
      </c>
      <c r="G180" s="6">
        <v>137.01</v>
      </c>
      <c r="H180" s="29">
        <f t="shared" si="10"/>
        <v>137.01</v>
      </c>
      <c r="I180" s="39">
        <f t="shared" si="14"/>
        <v>-5.8050939699587634E-3</v>
      </c>
      <c r="J180" s="32">
        <v>1.4956100000000001E-10</v>
      </c>
      <c r="K180" s="41">
        <f t="shared" si="13"/>
        <v>2804.0233979526793</v>
      </c>
      <c r="L180" s="42">
        <f t="shared" si="11"/>
        <v>4.886193178703004</v>
      </c>
      <c r="M180" s="33">
        <v>0.1</v>
      </c>
      <c r="N180" s="33">
        <v>2.4</v>
      </c>
      <c r="O180" s="33">
        <v>23.2</v>
      </c>
      <c r="P180" s="39">
        <f t="shared" si="12"/>
        <v>0.23199999999999998</v>
      </c>
    </row>
    <row r="181" spans="1:16" x14ac:dyDescent="0.25">
      <c r="A181" s="7"/>
      <c r="B181" s="2" t="s">
        <v>6</v>
      </c>
      <c r="C181" s="3">
        <v>1964.06</v>
      </c>
      <c r="D181" s="4" t="s">
        <v>1</v>
      </c>
      <c r="E181" s="4">
        <v>1000000</v>
      </c>
      <c r="F181" s="5">
        <v>1.0000000000000002E-13</v>
      </c>
      <c r="G181" s="6">
        <v>137.85</v>
      </c>
      <c r="H181" s="29">
        <f t="shared" si="10"/>
        <v>137.85</v>
      </c>
      <c r="I181" s="39">
        <f t="shared" si="14"/>
        <v>-7.2537356738844316E-5</v>
      </c>
      <c r="J181" s="32">
        <v>1.5163700000000001E-10</v>
      </c>
      <c r="K181" s="41">
        <f t="shared" si="13"/>
        <v>2842.9449923131729</v>
      </c>
      <c r="L181" s="42">
        <f t="shared" si="11"/>
        <v>4.8488451367410317</v>
      </c>
      <c r="M181" s="33">
        <v>1.4</v>
      </c>
      <c r="N181" s="33">
        <v>3.8</v>
      </c>
      <c r="O181" s="33">
        <v>23.5</v>
      </c>
      <c r="P181" s="39">
        <f t="shared" si="12"/>
        <v>0.23499999999999999</v>
      </c>
    </row>
    <row r="182" spans="1:16" x14ac:dyDescent="0.25">
      <c r="A182" s="7"/>
      <c r="B182" s="2" t="s">
        <v>7</v>
      </c>
      <c r="C182" s="3">
        <v>1964.07</v>
      </c>
      <c r="D182" s="4" t="s">
        <v>1</v>
      </c>
      <c r="E182" s="4">
        <v>1000000</v>
      </c>
      <c r="F182" s="5">
        <v>1.0000000000000002E-13</v>
      </c>
      <c r="G182" s="6">
        <v>137.65</v>
      </c>
      <c r="H182" s="29">
        <f t="shared" si="10"/>
        <v>137.65</v>
      </c>
      <c r="I182" s="39">
        <f t="shared" si="14"/>
        <v>4.5245566664233738E-3</v>
      </c>
      <c r="J182" s="32">
        <v>1.521909E-10</v>
      </c>
      <c r="K182" s="41">
        <f t="shared" si="13"/>
        <v>2853.3297086504936</v>
      </c>
      <c r="L182" s="42">
        <f t="shared" si="11"/>
        <v>4.8241883713152358</v>
      </c>
      <c r="M182" s="33">
        <v>0.4</v>
      </c>
      <c r="N182" s="33">
        <v>4.2</v>
      </c>
      <c r="O182" s="33">
        <v>22.1</v>
      </c>
      <c r="P182" s="39">
        <f t="shared" si="12"/>
        <v>0.221</v>
      </c>
    </row>
    <row r="183" spans="1:16" x14ac:dyDescent="0.25">
      <c r="A183" s="7"/>
      <c r="B183" s="2" t="s">
        <v>8</v>
      </c>
      <c r="C183" s="3">
        <v>1964.08</v>
      </c>
      <c r="D183" s="4" t="s">
        <v>1</v>
      </c>
      <c r="E183" s="4">
        <v>1000000</v>
      </c>
      <c r="F183" s="5">
        <v>1.0000000000000002E-13</v>
      </c>
      <c r="G183" s="6">
        <v>141.84</v>
      </c>
      <c r="H183" s="29">
        <f t="shared" si="10"/>
        <v>141.84</v>
      </c>
      <c r="I183" s="39">
        <f t="shared" si="14"/>
        <v>5.3397697734868244E-2</v>
      </c>
      <c r="J183" s="32">
        <v>1.514294E-10</v>
      </c>
      <c r="K183" s="41">
        <f t="shared" si="13"/>
        <v>2839.0528328771234</v>
      </c>
      <c r="L183" s="42">
        <f t="shared" si="11"/>
        <v>4.9960324217093905</v>
      </c>
      <c r="M183" s="33">
        <v>-0.5</v>
      </c>
      <c r="N183" s="33">
        <v>3.7</v>
      </c>
      <c r="O183" s="33">
        <v>21</v>
      </c>
      <c r="P183" s="39">
        <f t="shared" si="12"/>
        <v>0.21</v>
      </c>
    </row>
    <row r="184" spans="1:16" x14ac:dyDescent="0.25">
      <c r="A184" s="7"/>
      <c r="B184" s="2" t="s">
        <v>9</v>
      </c>
      <c r="C184" s="3">
        <v>1964.09</v>
      </c>
      <c r="D184" s="4" t="s">
        <v>1</v>
      </c>
      <c r="E184" s="4">
        <v>1000000</v>
      </c>
      <c r="F184" s="5">
        <v>1.0000000000000002E-13</v>
      </c>
      <c r="G184" s="6">
        <v>143.56</v>
      </c>
      <c r="H184" s="29">
        <f t="shared" si="10"/>
        <v>143.56</v>
      </c>
      <c r="I184" s="39">
        <f t="shared" si="14"/>
        <v>5.6742556917688258E-3</v>
      </c>
      <c r="J184" s="32">
        <v>1.530906E-10</v>
      </c>
      <c r="K184" s="41">
        <f t="shared" si="13"/>
        <v>2870.1976077093259</v>
      </c>
      <c r="L184" s="42">
        <f t="shared" si="11"/>
        <v>5.0017462078011308</v>
      </c>
      <c r="M184" s="33">
        <v>1.1000000000000001</v>
      </c>
      <c r="N184" s="33">
        <v>4.8</v>
      </c>
      <c r="O184" s="33">
        <v>20.399999999999999</v>
      </c>
      <c r="P184" s="39">
        <f t="shared" si="12"/>
        <v>0.20399999999999999</v>
      </c>
    </row>
    <row r="185" spans="1:16" x14ac:dyDescent="0.25">
      <c r="A185" s="7"/>
      <c r="B185" s="2" t="s">
        <v>10</v>
      </c>
      <c r="C185" s="3">
        <v>1964.1</v>
      </c>
      <c r="D185" s="4" t="s">
        <v>1</v>
      </c>
      <c r="E185" s="4">
        <v>1000000</v>
      </c>
      <c r="F185" s="5">
        <v>1.0000000000000002E-13</v>
      </c>
      <c r="G185" s="6">
        <v>143.61000000000001</v>
      </c>
      <c r="H185" s="29">
        <f t="shared" si="10"/>
        <v>143.61000000000001</v>
      </c>
      <c r="I185" s="39">
        <f t="shared" si="14"/>
        <v>-2.9662162162162109E-2</v>
      </c>
      <c r="J185" s="32">
        <v>1.591116E-10</v>
      </c>
      <c r="K185" s="41">
        <f t="shared" si="13"/>
        <v>2983.0814803704679</v>
      </c>
      <c r="L185" s="42">
        <f t="shared" si="11"/>
        <v>4.8141494271944971</v>
      </c>
      <c r="M185" s="33">
        <v>3.9</v>
      </c>
      <c r="N185" s="33">
        <v>9</v>
      </c>
      <c r="O185" s="33">
        <v>21.4</v>
      </c>
      <c r="P185" s="39">
        <f t="shared" si="12"/>
        <v>0.214</v>
      </c>
    </row>
    <row r="186" spans="1:16" x14ac:dyDescent="0.25">
      <c r="A186" s="7"/>
      <c r="B186" s="2" t="s">
        <v>11</v>
      </c>
      <c r="C186" s="3">
        <v>1964.11</v>
      </c>
      <c r="D186" s="4" t="s">
        <v>1</v>
      </c>
      <c r="E186" s="4">
        <v>1000000</v>
      </c>
      <c r="F186" s="5">
        <v>1.0000000000000002E-13</v>
      </c>
      <c r="G186" s="6">
        <v>149.03</v>
      </c>
      <c r="H186" s="29">
        <f t="shared" si="10"/>
        <v>149.03</v>
      </c>
      <c r="I186" s="39">
        <f t="shared" si="14"/>
        <v>3.6874695609824037E-2</v>
      </c>
      <c r="J186" s="32">
        <v>1.609111E-10</v>
      </c>
      <c r="K186" s="41">
        <f t="shared" si="13"/>
        <v>3016.8191533240843</v>
      </c>
      <c r="L186" s="42">
        <f t="shared" si="11"/>
        <v>4.939971288494081</v>
      </c>
      <c r="M186" s="33">
        <v>1.1000000000000001</v>
      </c>
      <c r="N186" s="33">
        <v>10.199999999999999</v>
      </c>
      <c r="O186" s="33">
        <v>19.7</v>
      </c>
      <c r="P186" s="39">
        <f t="shared" si="12"/>
        <v>0.19699999999999998</v>
      </c>
    </row>
    <row r="187" spans="1:16" x14ac:dyDescent="0.25">
      <c r="A187" s="7"/>
      <c r="B187" s="2" t="s">
        <v>12</v>
      </c>
      <c r="C187" s="3">
        <v>1964.12</v>
      </c>
      <c r="D187" s="4" t="s">
        <v>1</v>
      </c>
      <c r="E187" s="4">
        <v>1000000</v>
      </c>
      <c r="F187" s="5">
        <v>1.0000000000000002E-13</v>
      </c>
      <c r="G187" s="6">
        <v>150.37</v>
      </c>
      <c r="H187" s="29">
        <f t="shared" si="10"/>
        <v>150.37</v>
      </c>
      <c r="I187" s="39">
        <f t="shared" si="14"/>
        <v>0.10933234968646244</v>
      </c>
      <c r="J187" s="32">
        <v>1.724691E-10</v>
      </c>
      <c r="K187" s="41">
        <f t="shared" si="13"/>
        <v>3233.5126926393941</v>
      </c>
      <c r="L187" s="42">
        <f t="shared" si="11"/>
        <v>4.6503605921292568</v>
      </c>
      <c r="M187" s="33">
        <v>7.2</v>
      </c>
      <c r="N187" s="33">
        <v>18.100000000000001</v>
      </c>
      <c r="O187" s="33">
        <v>18.100000000000001</v>
      </c>
      <c r="P187" s="39">
        <f t="shared" si="12"/>
        <v>0.18100000000000002</v>
      </c>
    </row>
    <row r="188" spans="1:16" x14ac:dyDescent="0.25">
      <c r="A188" s="1">
        <v>1965.01</v>
      </c>
      <c r="B188" s="2" t="s">
        <v>0</v>
      </c>
      <c r="C188" s="3">
        <v>1965.01</v>
      </c>
      <c r="D188" s="4" t="s">
        <v>1</v>
      </c>
      <c r="E188" s="4">
        <v>1000000</v>
      </c>
      <c r="F188" s="5">
        <v>1.0000000000000002E-13</v>
      </c>
      <c r="G188" s="6">
        <v>150.74</v>
      </c>
      <c r="H188" s="29">
        <f t="shared" si="10"/>
        <v>150.74</v>
      </c>
      <c r="I188" s="39">
        <f t="shared" si="14"/>
        <v>0.13015444594391967</v>
      </c>
      <c r="J188" s="34">
        <v>1.6610199999999999E-10</v>
      </c>
      <c r="K188" s="41">
        <f t="shared" si="13"/>
        <v>3114.1400127488846</v>
      </c>
      <c r="L188" s="42">
        <f t="shared" si="11"/>
        <v>4.8405016917315864</v>
      </c>
      <c r="M188" s="33">
        <v>-3.7</v>
      </c>
      <c r="N188" s="33">
        <v>-3.7</v>
      </c>
      <c r="O188" s="33">
        <v>14.3</v>
      </c>
      <c r="P188" s="39">
        <f t="shared" si="12"/>
        <v>0.14300000000000002</v>
      </c>
    </row>
    <row r="189" spans="1:16" x14ac:dyDescent="0.25">
      <c r="A189" s="7"/>
      <c r="B189" s="2" t="s">
        <v>2</v>
      </c>
      <c r="C189" s="3">
        <v>1965.02</v>
      </c>
      <c r="D189" s="4" t="s">
        <v>1</v>
      </c>
      <c r="E189" s="4">
        <v>1000000</v>
      </c>
      <c r="F189" s="5">
        <v>1.0000000000000002E-13</v>
      </c>
      <c r="G189" s="6">
        <v>151.18</v>
      </c>
      <c r="H189" s="29">
        <f t="shared" si="10"/>
        <v>151.18</v>
      </c>
      <c r="I189" s="39">
        <f t="shared" si="14"/>
        <v>0.14460932768019386</v>
      </c>
      <c r="J189" s="34">
        <v>1.7413E-10</v>
      </c>
      <c r="K189" s="41">
        <f t="shared" si="13"/>
        <v>3264.6518429637404</v>
      </c>
      <c r="L189" s="42">
        <f t="shared" si="11"/>
        <v>4.6308153907999774</v>
      </c>
      <c r="M189" s="33">
        <v>4.8</v>
      </c>
      <c r="N189" s="33">
        <v>1</v>
      </c>
      <c r="O189" s="33">
        <v>20.7</v>
      </c>
      <c r="P189" s="39">
        <f t="shared" si="12"/>
        <v>0.20699999999999999</v>
      </c>
    </row>
    <row r="190" spans="1:16" x14ac:dyDescent="0.25">
      <c r="A190" s="7"/>
      <c r="B190" s="2" t="s">
        <v>3</v>
      </c>
      <c r="C190" s="3">
        <v>1965.03</v>
      </c>
      <c r="D190" s="4" t="s">
        <v>1</v>
      </c>
      <c r="E190" s="4">
        <v>1000000</v>
      </c>
      <c r="F190" s="5">
        <v>1.0000000000000002E-13</v>
      </c>
      <c r="G190" s="6">
        <v>150.63</v>
      </c>
      <c r="H190" s="29">
        <f t="shared" si="10"/>
        <v>150.63</v>
      </c>
      <c r="I190" s="39">
        <f t="shared" si="14"/>
        <v>0.11784786641929501</v>
      </c>
      <c r="J190" s="34">
        <v>1.78352E-10</v>
      </c>
      <c r="K190" s="41">
        <f t="shared" si="13"/>
        <v>3343.8074168510261</v>
      </c>
      <c r="L190" s="42">
        <f t="shared" si="11"/>
        <v>4.504745077150802</v>
      </c>
      <c r="M190" s="33">
        <v>2.4</v>
      </c>
      <c r="N190" s="33">
        <v>3.4</v>
      </c>
      <c r="O190" s="33">
        <v>24</v>
      </c>
      <c r="P190" s="39">
        <f t="shared" si="12"/>
        <v>0.24</v>
      </c>
    </row>
    <row r="191" spans="1:16" x14ac:dyDescent="0.25">
      <c r="A191" s="7"/>
      <c r="B191" s="2" t="s">
        <v>4</v>
      </c>
      <c r="C191" s="3">
        <v>1965.04</v>
      </c>
      <c r="D191" s="4" t="s">
        <v>1</v>
      </c>
      <c r="E191" s="4">
        <v>1000000</v>
      </c>
      <c r="F191" s="5">
        <v>1.0000000000000002E-13</v>
      </c>
      <c r="G191" s="6">
        <v>160.68</v>
      </c>
      <c r="H191" s="29">
        <f t="shared" si="10"/>
        <v>160.68</v>
      </c>
      <c r="I191" s="39">
        <f t="shared" si="14"/>
        <v>0.16909196740395815</v>
      </c>
      <c r="J191" s="34">
        <v>1.8022100000000001E-10</v>
      </c>
      <c r="K191" s="41">
        <f t="shared" si="13"/>
        <v>3378.848100791181</v>
      </c>
      <c r="L191" s="42">
        <f t="shared" si="11"/>
        <v>4.7554668101941502</v>
      </c>
      <c r="M191" s="33">
        <v>1</v>
      </c>
      <c r="N191" s="33">
        <v>4.5</v>
      </c>
      <c r="O191" s="33">
        <v>20.7</v>
      </c>
      <c r="P191" s="39">
        <f t="shared" si="12"/>
        <v>0.20699999999999999</v>
      </c>
    </row>
    <row r="192" spans="1:16" x14ac:dyDescent="0.25">
      <c r="A192" s="7"/>
      <c r="B192" s="2" t="s">
        <v>5</v>
      </c>
      <c r="C192" s="3">
        <v>1965.05</v>
      </c>
      <c r="D192" s="4" t="s">
        <v>1</v>
      </c>
      <c r="E192" s="4">
        <v>1000000</v>
      </c>
      <c r="F192" s="5">
        <v>1.0000000000000002E-13</v>
      </c>
      <c r="G192" s="6">
        <v>171.55</v>
      </c>
      <c r="H192" s="29">
        <f t="shared" si="10"/>
        <v>171.55</v>
      </c>
      <c r="I192" s="39">
        <f t="shared" si="14"/>
        <v>0.25209838697905274</v>
      </c>
      <c r="J192" s="34">
        <v>1.8409600000000001E-10</v>
      </c>
      <c r="K192" s="41">
        <f t="shared" si="13"/>
        <v>3451.4979939255322</v>
      </c>
      <c r="L192" s="42">
        <f t="shared" si="11"/>
        <v>4.970305655744828</v>
      </c>
      <c r="M192" s="33">
        <v>2.2000000000000002</v>
      </c>
      <c r="N192" s="33">
        <v>6.7</v>
      </c>
      <c r="O192" s="33">
        <v>23.1</v>
      </c>
      <c r="P192" s="39">
        <f t="shared" si="12"/>
        <v>0.23100000000000001</v>
      </c>
    </row>
    <row r="193" spans="1:16" x14ac:dyDescent="0.25">
      <c r="A193" s="7"/>
      <c r="B193" s="2" t="s">
        <v>6</v>
      </c>
      <c r="C193" s="3">
        <v>1965.06</v>
      </c>
      <c r="D193" s="4" t="s">
        <v>1</v>
      </c>
      <c r="E193" s="4">
        <v>1000000</v>
      </c>
      <c r="F193" s="5">
        <v>1.0000000000000002E-13</v>
      </c>
      <c r="G193" s="6">
        <v>171.98</v>
      </c>
      <c r="H193" s="29">
        <f t="shared" si="10"/>
        <v>171.98</v>
      </c>
      <c r="I193" s="39">
        <f t="shared" si="14"/>
        <v>0.2475879579252811</v>
      </c>
      <c r="J193" s="34">
        <v>1.91502E-10</v>
      </c>
      <c r="K193" s="41">
        <f t="shared" si="13"/>
        <v>3590.3483445198549</v>
      </c>
      <c r="L193" s="42">
        <f t="shared" si="11"/>
        <v>4.7900644588568255</v>
      </c>
      <c r="M193" s="33">
        <v>4</v>
      </c>
      <c r="N193" s="33">
        <v>11</v>
      </c>
      <c r="O193" s="33">
        <v>26.3</v>
      </c>
      <c r="P193" s="39">
        <f t="shared" si="12"/>
        <v>0.26300000000000001</v>
      </c>
    </row>
    <row r="194" spans="1:16" x14ac:dyDescent="0.25">
      <c r="A194" s="7"/>
      <c r="B194" s="2" t="s">
        <v>7</v>
      </c>
      <c r="C194" s="3">
        <v>1965.07</v>
      </c>
      <c r="D194" s="4" t="s">
        <v>1</v>
      </c>
      <c r="E194" s="4">
        <v>1000000</v>
      </c>
      <c r="F194" s="5">
        <v>1.0000000000000002E-13</v>
      </c>
      <c r="G194" s="6">
        <v>171.71</v>
      </c>
      <c r="H194" s="29">
        <f t="shared" si="10"/>
        <v>171.71</v>
      </c>
      <c r="I194" s="39">
        <f t="shared" si="14"/>
        <v>0.24743915728296395</v>
      </c>
      <c r="J194" s="34">
        <v>1.99876E-10</v>
      </c>
      <c r="K194" s="41">
        <f t="shared" si="13"/>
        <v>3747.3471071281269</v>
      </c>
      <c r="L194" s="42">
        <f t="shared" si="11"/>
        <v>4.5821749384618453</v>
      </c>
      <c r="M194" s="33">
        <v>4.4000000000000004</v>
      </c>
      <c r="N194" s="33">
        <v>15.9</v>
      </c>
      <c r="O194" s="33">
        <v>31.3</v>
      </c>
      <c r="P194" s="39">
        <f t="shared" si="12"/>
        <v>0.313</v>
      </c>
    </row>
    <row r="195" spans="1:16" x14ac:dyDescent="0.25">
      <c r="A195" s="7"/>
      <c r="B195" s="2" t="s">
        <v>8</v>
      </c>
      <c r="C195" s="3">
        <v>1965.08</v>
      </c>
      <c r="D195" s="4" t="s">
        <v>1</v>
      </c>
      <c r="E195" s="4">
        <v>1000000</v>
      </c>
      <c r="F195" s="5">
        <v>1.0000000000000002E-13</v>
      </c>
      <c r="G195" s="6">
        <v>171.52</v>
      </c>
      <c r="H195" s="29">
        <f t="shared" si="10"/>
        <v>171.52</v>
      </c>
      <c r="I195" s="39">
        <f t="shared" si="14"/>
        <v>0.20924985899605186</v>
      </c>
      <c r="J195" s="34">
        <v>2.04305E-10</v>
      </c>
      <c r="K195" s="41">
        <f t="shared" si="13"/>
        <v>3830.3835914357492</v>
      </c>
      <c r="L195" s="42">
        <f t="shared" si="11"/>
        <v>4.4778805021903532</v>
      </c>
      <c r="M195" s="33">
        <v>2.2000000000000002</v>
      </c>
      <c r="N195" s="33">
        <v>18.5</v>
      </c>
      <c r="O195" s="33">
        <v>34.9</v>
      </c>
      <c r="P195" s="39">
        <f t="shared" si="12"/>
        <v>0.34899999999999998</v>
      </c>
    </row>
    <row r="196" spans="1:16" x14ac:dyDescent="0.25">
      <c r="A196" s="7"/>
      <c r="B196" s="2" t="s">
        <v>9</v>
      </c>
      <c r="C196" s="3">
        <v>1965.09</v>
      </c>
      <c r="D196" s="4" t="s">
        <v>1</v>
      </c>
      <c r="E196" s="4">
        <v>1000000</v>
      </c>
      <c r="F196" s="5">
        <v>1.0000000000000002E-13</v>
      </c>
      <c r="G196" s="6">
        <v>176.29</v>
      </c>
      <c r="H196" s="29">
        <f t="shared" si="10"/>
        <v>176.29</v>
      </c>
      <c r="I196" s="39">
        <f t="shared" si="14"/>
        <v>0.22798829757592642</v>
      </c>
      <c r="J196" s="34">
        <v>2.0735000000000001E-10</v>
      </c>
      <c r="K196" s="41">
        <f t="shared" si="13"/>
        <v>3887.4723461697104</v>
      </c>
      <c r="L196" s="42">
        <f t="shared" si="11"/>
        <v>4.5348232553653238</v>
      </c>
      <c r="M196" s="33">
        <v>1.5</v>
      </c>
      <c r="N196" s="33">
        <v>20.2</v>
      </c>
      <c r="O196" s="33">
        <v>35.4</v>
      </c>
      <c r="P196" s="39">
        <f t="shared" si="12"/>
        <v>0.35399999999999998</v>
      </c>
    </row>
    <row r="197" spans="1:16" x14ac:dyDescent="0.25">
      <c r="A197" s="7"/>
      <c r="B197" s="2" t="s">
        <v>10</v>
      </c>
      <c r="C197" s="3">
        <v>1965.1</v>
      </c>
      <c r="D197" s="4" t="s">
        <v>1</v>
      </c>
      <c r="E197" s="4">
        <v>1000000</v>
      </c>
      <c r="F197" s="5">
        <v>1.0000000000000002E-13</v>
      </c>
      <c r="G197" s="6">
        <v>179.35</v>
      </c>
      <c r="H197" s="29">
        <f t="shared" si="10"/>
        <v>179.35</v>
      </c>
      <c r="I197" s="39">
        <f t="shared" si="14"/>
        <v>0.24886846319894151</v>
      </c>
      <c r="J197" s="34">
        <v>2.1268000000000001E-10</v>
      </c>
      <c r="K197" s="41">
        <f t="shared" si="13"/>
        <v>3987.4011024035403</v>
      </c>
      <c r="L197" s="42">
        <f t="shared" si="11"/>
        <v>4.4979171995486169</v>
      </c>
      <c r="M197" s="33">
        <v>2.6</v>
      </c>
      <c r="N197" s="33">
        <v>23.3</v>
      </c>
      <c r="O197" s="33">
        <v>33.700000000000003</v>
      </c>
      <c r="P197" s="39">
        <f t="shared" si="12"/>
        <v>0.33700000000000002</v>
      </c>
    </row>
    <row r="198" spans="1:16" x14ac:dyDescent="0.25">
      <c r="A198" s="7"/>
      <c r="B198" s="2" t="s">
        <v>11</v>
      </c>
      <c r="C198" s="3">
        <v>1965.11</v>
      </c>
      <c r="D198" s="4" t="s">
        <v>1</v>
      </c>
      <c r="E198" s="4">
        <v>1000000</v>
      </c>
      <c r="F198" s="5">
        <v>1.0000000000000002E-13</v>
      </c>
      <c r="G198" s="6">
        <v>179.18</v>
      </c>
      <c r="H198" s="29">
        <f t="shared" si="10"/>
        <v>179.18</v>
      </c>
      <c r="I198" s="39">
        <f t="shared" si="14"/>
        <v>0.20230826008186265</v>
      </c>
      <c r="J198" s="34">
        <v>2.2036199999999999E-10</v>
      </c>
      <c r="K198" s="41">
        <f t="shared" si="13"/>
        <v>4131.4260002249803</v>
      </c>
      <c r="L198" s="42">
        <f t="shared" si="11"/>
        <v>4.3370013160163738</v>
      </c>
      <c r="M198" s="33">
        <v>3.6</v>
      </c>
      <c r="N198" s="33">
        <v>27.8</v>
      </c>
      <c r="O198" s="33">
        <v>36.9</v>
      </c>
      <c r="P198" s="39">
        <f t="shared" si="12"/>
        <v>0.36899999999999999</v>
      </c>
    </row>
    <row r="199" spans="1:16" x14ac:dyDescent="0.25">
      <c r="A199" s="7"/>
      <c r="B199" s="2" t="s">
        <v>12</v>
      </c>
      <c r="C199" s="3">
        <v>1965.12</v>
      </c>
      <c r="D199" s="4" t="s">
        <v>1</v>
      </c>
      <c r="E199" s="4">
        <v>1000000</v>
      </c>
      <c r="F199" s="5">
        <v>1.0000000000000002E-13</v>
      </c>
      <c r="G199" s="6">
        <v>187.11</v>
      </c>
      <c r="H199" s="29">
        <f t="shared" si="10"/>
        <v>187.11</v>
      </c>
      <c r="I199" s="39">
        <f t="shared" si="14"/>
        <v>0.24433065106071705</v>
      </c>
      <c r="J199" s="34">
        <v>2.3835600000000001E-10</v>
      </c>
      <c r="K199" s="41">
        <f t="shared" si="13"/>
        <v>4468.7839814016279</v>
      </c>
      <c r="L199" s="42">
        <f t="shared" si="11"/>
        <v>4.1870450838241959</v>
      </c>
      <c r="M199" s="33">
        <v>8.1999999999999993</v>
      </c>
      <c r="N199" s="33">
        <v>38.200000000000003</v>
      </c>
      <c r="O199" s="33">
        <v>38.200000000000003</v>
      </c>
      <c r="P199" s="39">
        <f t="shared" si="12"/>
        <v>0.38200000000000001</v>
      </c>
    </row>
    <row r="200" spans="1:16" x14ac:dyDescent="0.25">
      <c r="A200" s="1">
        <v>1966.01</v>
      </c>
      <c r="B200" s="2" t="s">
        <v>0</v>
      </c>
      <c r="C200" s="3">
        <v>1966.01</v>
      </c>
      <c r="D200" s="4" t="s">
        <v>1</v>
      </c>
      <c r="E200" s="4">
        <v>1000000</v>
      </c>
      <c r="F200" s="5">
        <v>1.0000000000000002E-13</v>
      </c>
      <c r="G200" s="6">
        <v>188.78</v>
      </c>
      <c r="H200" s="29">
        <f t="shared" si="10"/>
        <v>188.78</v>
      </c>
      <c r="I200" s="39">
        <f t="shared" si="14"/>
        <v>0.25235504842775636</v>
      </c>
      <c r="J200" s="34">
        <v>2.3295800000000002E-10</v>
      </c>
      <c r="K200" s="41">
        <f t="shared" si="13"/>
        <v>4367.5803367205372</v>
      </c>
      <c r="L200" s="42">
        <f t="shared" si="11"/>
        <v>4.3223017196232796</v>
      </c>
      <c r="M200" s="33">
        <v>-2.2999999999999998</v>
      </c>
      <c r="N200" s="33">
        <v>-2.2999999999999998</v>
      </c>
      <c r="O200" s="33">
        <v>40.299999999999997</v>
      </c>
      <c r="P200" s="39">
        <f t="shared" si="12"/>
        <v>0.40299999999999997</v>
      </c>
    </row>
    <row r="201" spans="1:16" x14ac:dyDescent="0.25">
      <c r="A201" s="7"/>
      <c r="B201" s="2" t="s">
        <v>2</v>
      </c>
      <c r="C201" s="3">
        <v>1966.02</v>
      </c>
      <c r="D201" s="4" t="s">
        <v>1</v>
      </c>
      <c r="E201" s="4">
        <v>1000000</v>
      </c>
      <c r="F201" s="5">
        <v>1.0000000000000002E-13</v>
      </c>
      <c r="G201" s="6">
        <v>189.03</v>
      </c>
      <c r="H201" s="29">
        <f t="shared" ref="H201:H247" si="15">+G201</f>
        <v>189.03</v>
      </c>
      <c r="I201" s="39">
        <f t="shared" si="14"/>
        <v>0.25036380473607611</v>
      </c>
      <c r="J201" s="34">
        <v>2.3807900000000001E-10</v>
      </c>
      <c r="K201" s="41">
        <f t="shared" si="13"/>
        <v>4463.590685814992</v>
      </c>
      <c r="L201" s="42">
        <f t="shared" ref="L201:L264" si="16">+H201/K201*100</f>
        <v>4.2349313211160995</v>
      </c>
      <c r="M201" s="33">
        <v>2.2000000000000002</v>
      </c>
      <c r="N201" s="33">
        <v>-0.1</v>
      </c>
      <c r="O201" s="33">
        <v>36.700000000000003</v>
      </c>
      <c r="P201" s="39">
        <f t="shared" ref="P201:P264" si="17">+O201/100</f>
        <v>0.36700000000000005</v>
      </c>
    </row>
    <row r="202" spans="1:16" x14ac:dyDescent="0.25">
      <c r="A202" s="7"/>
      <c r="B202" s="2" t="s">
        <v>3</v>
      </c>
      <c r="C202" s="3">
        <v>1966.03</v>
      </c>
      <c r="D202" s="4" t="s">
        <v>1</v>
      </c>
      <c r="E202" s="4">
        <v>1000000</v>
      </c>
      <c r="F202" s="5">
        <v>1.0000000000000002E-13</v>
      </c>
      <c r="G202" s="6">
        <v>188.73</v>
      </c>
      <c r="H202" s="29">
        <f t="shared" si="15"/>
        <v>188.73</v>
      </c>
      <c r="I202" s="39">
        <f t="shared" si="14"/>
        <v>0.25293766182035449</v>
      </c>
      <c r="J202" s="34">
        <v>2.4326999999999998E-10</v>
      </c>
      <c r="K202" s="41">
        <f t="shared" ref="K202:K265" si="18">+J202*$K$8/$J$8</f>
        <v>4560.9134200757426</v>
      </c>
      <c r="L202" s="42">
        <f t="shared" si="16"/>
        <v>4.1379869034406225</v>
      </c>
      <c r="M202" s="33">
        <v>2.2000000000000002</v>
      </c>
      <c r="N202" s="33">
        <v>2.1</v>
      </c>
      <c r="O202" s="33">
        <v>36.4</v>
      </c>
      <c r="P202" s="39">
        <f t="shared" si="17"/>
        <v>0.36399999999999999</v>
      </c>
    </row>
    <row r="203" spans="1:16" x14ac:dyDescent="0.25">
      <c r="A203" s="7"/>
      <c r="B203" s="2" t="s">
        <v>4</v>
      </c>
      <c r="C203" s="3">
        <v>1966.04</v>
      </c>
      <c r="D203" s="4" t="s">
        <v>1</v>
      </c>
      <c r="E203" s="4">
        <v>1000000</v>
      </c>
      <c r="F203" s="5">
        <v>1.0000000000000002E-13</v>
      </c>
      <c r="G203" s="6">
        <v>188.76</v>
      </c>
      <c r="H203" s="29">
        <f t="shared" si="15"/>
        <v>188.76</v>
      </c>
      <c r="I203" s="39">
        <f t="shared" si="14"/>
        <v>0.17475728155339798</v>
      </c>
      <c r="J203" s="34">
        <v>2.4832199999999999E-10</v>
      </c>
      <c r="K203" s="41">
        <f t="shared" si="18"/>
        <v>4655.6301323634179</v>
      </c>
      <c r="L203" s="42">
        <f t="shared" si="16"/>
        <v>4.0544457921569581</v>
      </c>
      <c r="M203" s="33">
        <v>2.1</v>
      </c>
      <c r="N203" s="33">
        <v>4.2</v>
      </c>
      <c r="O203" s="33">
        <v>37.799999999999997</v>
      </c>
      <c r="P203" s="39">
        <f t="shared" si="17"/>
        <v>0.37799999999999995</v>
      </c>
    </row>
    <row r="204" spans="1:16" x14ac:dyDescent="0.25">
      <c r="A204" s="7"/>
      <c r="B204" s="2" t="s">
        <v>5</v>
      </c>
      <c r="C204" s="3">
        <v>1966.05</v>
      </c>
      <c r="D204" s="4" t="s">
        <v>1</v>
      </c>
      <c r="E204" s="4">
        <v>1000000</v>
      </c>
      <c r="F204" s="5">
        <v>1.0000000000000002E-13</v>
      </c>
      <c r="G204" s="6">
        <v>190.1</v>
      </c>
      <c r="H204" s="29">
        <f t="shared" si="15"/>
        <v>190.1</v>
      </c>
      <c r="I204" s="39">
        <f t="shared" si="14"/>
        <v>0.10813174001748749</v>
      </c>
      <c r="J204" s="34">
        <v>2.5088299999999999E-10</v>
      </c>
      <c r="K204" s="41">
        <f t="shared" si="18"/>
        <v>4703.6446810904044</v>
      </c>
      <c r="L204" s="42">
        <f t="shared" si="16"/>
        <v>4.0415467767843971</v>
      </c>
      <c r="M204" s="33">
        <v>1</v>
      </c>
      <c r="N204" s="33">
        <v>5.3</v>
      </c>
      <c r="O204" s="33">
        <v>36.299999999999997</v>
      </c>
      <c r="P204" s="39">
        <f t="shared" si="17"/>
        <v>0.36299999999999999</v>
      </c>
    </row>
    <row r="205" spans="1:16" x14ac:dyDescent="0.25">
      <c r="A205" s="7"/>
      <c r="B205" s="2" t="s">
        <v>6</v>
      </c>
      <c r="C205" s="3">
        <v>1966.06</v>
      </c>
      <c r="D205" s="4" t="s">
        <v>1</v>
      </c>
      <c r="E205" s="4">
        <v>1000000</v>
      </c>
      <c r="F205" s="5">
        <v>1.0000000000000002E-13</v>
      </c>
      <c r="G205" s="6">
        <v>202.74</v>
      </c>
      <c r="H205" s="29">
        <f t="shared" si="15"/>
        <v>202.74</v>
      </c>
      <c r="I205" s="39">
        <f t="shared" si="14"/>
        <v>0.17885800674497054</v>
      </c>
      <c r="J205" s="34">
        <v>2.5302799999999999E-10</v>
      </c>
      <c r="K205" s="41">
        <f t="shared" si="18"/>
        <v>4743.859912257677</v>
      </c>
      <c r="L205" s="42">
        <f t="shared" si="16"/>
        <v>4.2737349700428418</v>
      </c>
      <c r="M205" s="33">
        <v>0.9</v>
      </c>
      <c r="N205" s="33">
        <v>6.2</v>
      </c>
      <c r="O205" s="33">
        <v>32.1</v>
      </c>
      <c r="P205" s="39">
        <f t="shared" si="17"/>
        <v>0.32100000000000001</v>
      </c>
    </row>
    <row r="206" spans="1:16" x14ac:dyDescent="0.25">
      <c r="A206" s="7"/>
      <c r="B206" s="2" t="s">
        <v>7</v>
      </c>
      <c r="C206" s="3">
        <v>1966.07</v>
      </c>
      <c r="D206" s="4" t="s">
        <v>1</v>
      </c>
      <c r="E206" s="4">
        <v>1000000</v>
      </c>
      <c r="F206" s="5">
        <v>1.0000000000000002E-13</v>
      </c>
      <c r="G206" s="6">
        <v>203.89</v>
      </c>
      <c r="H206" s="29">
        <f t="shared" si="15"/>
        <v>203.89</v>
      </c>
      <c r="I206" s="39">
        <f t="shared" si="14"/>
        <v>0.18740900355250112</v>
      </c>
      <c r="J206" s="34">
        <v>2.57043E-10</v>
      </c>
      <c r="K206" s="41">
        <f t="shared" si="18"/>
        <v>4819.1345757246245</v>
      </c>
      <c r="L206" s="42">
        <f t="shared" si="16"/>
        <v>4.2308426294433223</v>
      </c>
      <c r="M206" s="33">
        <v>1.6</v>
      </c>
      <c r="N206" s="33">
        <v>7.8</v>
      </c>
      <c r="O206" s="33">
        <v>28.6</v>
      </c>
      <c r="P206" s="39">
        <f t="shared" si="17"/>
        <v>0.28600000000000003</v>
      </c>
    </row>
    <row r="207" spans="1:16" x14ac:dyDescent="0.25">
      <c r="A207" s="7"/>
      <c r="B207" s="2" t="s">
        <v>8</v>
      </c>
      <c r="C207" s="3">
        <v>1966.08</v>
      </c>
      <c r="D207" s="4" t="s">
        <v>1</v>
      </c>
      <c r="E207" s="4">
        <v>1000000</v>
      </c>
      <c r="F207" s="5">
        <v>1.0000000000000002E-13</v>
      </c>
      <c r="G207" s="6">
        <v>212.27</v>
      </c>
      <c r="H207" s="29">
        <f t="shared" si="15"/>
        <v>212.27</v>
      </c>
      <c r="I207" s="39">
        <f t="shared" si="14"/>
        <v>0.2375816231343284</v>
      </c>
      <c r="J207" s="34">
        <v>2.6001799999999998E-10</v>
      </c>
      <c r="K207" s="41">
        <f t="shared" si="18"/>
        <v>4874.9109452922867</v>
      </c>
      <c r="L207" s="42">
        <f t="shared" si="16"/>
        <v>4.354335953664747</v>
      </c>
      <c r="M207" s="33">
        <v>1.2</v>
      </c>
      <c r="N207" s="33">
        <v>9.1</v>
      </c>
      <c r="O207" s="33">
        <v>27.3</v>
      </c>
      <c r="P207" s="39">
        <f t="shared" si="17"/>
        <v>0.27300000000000002</v>
      </c>
    </row>
    <row r="208" spans="1:16" x14ac:dyDescent="0.25">
      <c r="A208" s="7"/>
      <c r="B208" s="2" t="s">
        <v>9</v>
      </c>
      <c r="C208" s="3">
        <v>1966.09</v>
      </c>
      <c r="D208" s="4" t="s">
        <v>1</v>
      </c>
      <c r="E208" s="4">
        <v>1000000</v>
      </c>
      <c r="F208" s="5">
        <v>1.0000000000000002E-13</v>
      </c>
      <c r="G208" s="6">
        <v>217.23</v>
      </c>
      <c r="H208" s="29">
        <f t="shared" si="15"/>
        <v>217.23</v>
      </c>
      <c r="I208" s="39">
        <f t="shared" si="14"/>
        <v>0.23223098303931033</v>
      </c>
      <c r="J208" s="34">
        <v>2.6396400000000002E-10</v>
      </c>
      <c r="K208" s="41">
        <f t="shared" si="18"/>
        <v>4948.8919719524547</v>
      </c>
      <c r="L208" s="42">
        <f t="shared" si="16"/>
        <v>4.3894674046460871</v>
      </c>
      <c r="M208" s="33">
        <v>1.5</v>
      </c>
      <c r="N208" s="33">
        <v>10.7</v>
      </c>
      <c r="O208" s="33">
        <v>27.3</v>
      </c>
      <c r="P208" s="39">
        <f t="shared" si="17"/>
        <v>0.27300000000000002</v>
      </c>
    </row>
    <row r="209" spans="1:16" x14ac:dyDescent="0.25">
      <c r="A209" s="7"/>
      <c r="B209" s="2" t="s">
        <v>10</v>
      </c>
      <c r="C209" s="3">
        <v>1966.1</v>
      </c>
      <c r="D209" s="4" t="s">
        <v>1</v>
      </c>
      <c r="E209" s="4">
        <v>1000000</v>
      </c>
      <c r="F209" s="5">
        <v>1.0000000000000002E-13</v>
      </c>
      <c r="G209" s="6">
        <v>217.58</v>
      </c>
      <c r="H209" s="29">
        <f t="shared" si="15"/>
        <v>217.58</v>
      </c>
      <c r="I209" s="39">
        <f t="shared" si="14"/>
        <v>0.21315862838026223</v>
      </c>
      <c r="J209" s="34">
        <v>2.7240700000000002E-10</v>
      </c>
      <c r="K209" s="41">
        <f t="shared" si="18"/>
        <v>5107.1843713675062</v>
      </c>
      <c r="L209" s="42">
        <f t="shared" si="16"/>
        <v>4.2602730619991407</v>
      </c>
      <c r="M209" s="33">
        <v>3.2</v>
      </c>
      <c r="N209" s="33">
        <v>14.3</v>
      </c>
      <c r="O209" s="33">
        <v>28.1</v>
      </c>
      <c r="P209" s="39">
        <f t="shared" si="17"/>
        <v>0.28100000000000003</v>
      </c>
    </row>
    <row r="210" spans="1:16" x14ac:dyDescent="0.25">
      <c r="A210" s="7"/>
      <c r="B210" s="2" t="s">
        <v>11</v>
      </c>
      <c r="C210" s="3">
        <v>1966.11</v>
      </c>
      <c r="D210" s="4" t="s">
        <v>1</v>
      </c>
      <c r="E210" s="4">
        <v>1000000</v>
      </c>
      <c r="F210" s="5">
        <v>1.0000000000000002E-13</v>
      </c>
      <c r="G210" s="6">
        <v>244.63</v>
      </c>
      <c r="H210" s="29">
        <f t="shared" si="15"/>
        <v>244.63</v>
      </c>
      <c r="I210" s="39">
        <f t="shared" si="14"/>
        <v>0.36527514231499048</v>
      </c>
      <c r="J210" s="34">
        <v>2.7877399999999999E-10</v>
      </c>
      <c r="K210" s="41">
        <f t="shared" si="18"/>
        <v>5226.5551764220636</v>
      </c>
      <c r="L210" s="42">
        <f t="shared" si="16"/>
        <v>4.6805207587508155</v>
      </c>
      <c r="M210" s="33">
        <v>2.2999999999999998</v>
      </c>
      <c r="N210" s="33">
        <v>17</v>
      </c>
      <c r="O210" s="33">
        <v>26.5</v>
      </c>
      <c r="P210" s="39">
        <f t="shared" si="17"/>
        <v>0.26500000000000001</v>
      </c>
    </row>
    <row r="211" spans="1:16" x14ac:dyDescent="0.25">
      <c r="A211" s="7"/>
      <c r="B211" s="2" t="s">
        <v>12</v>
      </c>
      <c r="C211" s="3">
        <v>1966.12</v>
      </c>
      <c r="D211" s="4" t="s">
        <v>1</v>
      </c>
      <c r="E211" s="4">
        <v>1000000</v>
      </c>
      <c r="F211" s="5">
        <v>1.0000000000000002E-13</v>
      </c>
      <c r="G211" s="6">
        <v>245.63</v>
      </c>
      <c r="H211" s="29">
        <f t="shared" si="15"/>
        <v>245.63</v>
      </c>
      <c r="I211" s="39">
        <f t="shared" si="14"/>
        <v>0.31275720164609044</v>
      </c>
      <c r="J211" s="34">
        <v>3.0971100000000002E-10</v>
      </c>
      <c r="K211" s="41">
        <f t="shared" si="18"/>
        <v>5806.5731748472008</v>
      </c>
      <c r="L211" s="42">
        <f t="shared" si="16"/>
        <v>4.2302058822579758</v>
      </c>
      <c r="M211" s="33">
        <v>11.1</v>
      </c>
      <c r="N211" s="33">
        <v>29.9</v>
      </c>
      <c r="O211" s="33">
        <v>29.9</v>
      </c>
      <c r="P211" s="39">
        <f t="shared" si="17"/>
        <v>0.29899999999999999</v>
      </c>
    </row>
    <row r="212" spans="1:16" x14ac:dyDescent="0.25">
      <c r="A212" s="1">
        <v>1967.01</v>
      </c>
      <c r="B212" s="2" t="s">
        <v>13</v>
      </c>
      <c r="C212" s="3">
        <v>1967.01</v>
      </c>
      <c r="D212" s="4" t="s">
        <v>1</v>
      </c>
      <c r="E212" s="4">
        <v>1000000000</v>
      </c>
      <c r="F212" s="5">
        <v>1.0000000000000002E-13</v>
      </c>
      <c r="G212" s="6">
        <v>245.65</v>
      </c>
      <c r="H212" s="29">
        <f t="shared" si="15"/>
        <v>245.65</v>
      </c>
      <c r="I212" s="39">
        <f t="shared" si="14"/>
        <v>0.30125013242928289</v>
      </c>
      <c r="J212" s="35">
        <v>2.9518000000000001E-10</v>
      </c>
      <c r="K212" s="41">
        <f t="shared" si="18"/>
        <v>5534.1407626832652</v>
      </c>
      <c r="L212" s="42">
        <f t="shared" si="16"/>
        <v>4.438810115861509</v>
      </c>
      <c r="M212" s="33">
        <v>-4.7</v>
      </c>
      <c r="N212" s="33">
        <v>-4.7</v>
      </c>
      <c r="O212" s="33">
        <v>26.7</v>
      </c>
      <c r="P212" s="39">
        <f t="shared" si="17"/>
        <v>0.26700000000000002</v>
      </c>
    </row>
    <row r="213" spans="1:16" x14ac:dyDescent="0.25">
      <c r="A213" s="7"/>
      <c r="B213" s="2" t="s">
        <v>2</v>
      </c>
      <c r="C213" s="3">
        <v>1967.02</v>
      </c>
      <c r="D213" s="4" t="s">
        <v>1</v>
      </c>
      <c r="E213" s="4">
        <v>1000000000</v>
      </c>
      <c r="F213" s="5">
        <v>1.0000000000000002E-13</v>
      </c>
      <c r="G213" s="6">
        <v>250.98</v>
      </c>
      <c r="H213" s="29">
        <f t="shared" si="15"/>
        <v>250.98</v>
      </c>
      <c r="I213" s="39">
        <f t="shared" ref="I213:I276" si="19">+H213/H201-1</f>
        <v>0.3277257578162196</v>
      </c>
      <c r="J213" s="35">
        <v>3.0147999999999998E-10</v>
      </c>
      <c r="K213" s="41">
        <f t="shared" si="18"/>
        <v>5652.2554276500805</v>
      </c>
      <c r="L213" s="42">
        <f t="shared" si="16"/>
        <v>4.4403513466896642</v>
      </c>
      <c r="M213" s="33">
        <v>2.1</v>
      </c>
      <c r="N213" s="33">
        <v>-2.7</v>
      </c>
      <c r="O213" s="33">
        <v>26.6</v>
      </c>
      <c r="P213" s="39">
        <f t="shared" si="17"/>
        <v>0.26600000000000001</v>
      </c>
    </row>
    <row r="214" spans="1:16" x14ac:dyDescent="0.25">
      <c r="A214" s="7"/>
      <c r="B214" s="2" t="s">
        <v>3</v>
      </c>
      <c r="C214" s="3">
        <v>1967.03</v>
      </c>
      <c r="D214" s="4" t="s">
        <v>1</v>
      </c>
      <c r="E214" s="4">
        <v>1000000000</v>
      </c>
      <c r="F214" s="5">
        <v>1.0000000000000002E-13</v>
      </c>
      <c r="G214" s="6">
        <v>326.95999999999998</v>
      </c>
      <c r="H214" s="29">
        <f t="shared" si="15"/>
        <v>326.95999999999998</v>
      </c>
      <c r="I214" s="39">
        <f t="shared" si="19"/>
        <v>0.73242197848778678</v>
      </c>
      <c r="J214" s="35">
        <v>3.0812000000000002E-10</v>
      </c>
      <c r="K214" s="41">
        <f t="shared" si="18"/>
        <v>5776.7445348532019</v>
      </c>
      <c r="L214" s="42">
        <f t="shared" si="16"/>
        <v>5.6599352460080476</v>
      </c>
      <c r="M214" s="33">
        <v>2.2000000000000002</v>
      </c>
      <c r="N214" s="33">
        <v>-0.5</v>
      </c>
      <c r="O214" s="33">
        <v>26.7</v>
      </c>
      <c r="P214" s="39">
        <f t="shared" si="17"/>
        <v>0.26700000000000002</v>
      </c>
    </row>
    <row r="215" spans="1:16" x14ac:dyDescent="0.25">
      <c r="A215" s="7"/>
      <c r="B215" s="2" t="s">
        <v>4</v>
      </c>
      <c r="C215" s="3">
        <v>1967.04</v>
      </c>
      <c r="D215" s="4" t="s">
        <v>1</v>
      </c>
      <c r="E215" s="4">
        <v>1000000000</v>
      </c>
      <c r="F215" s="5">
        <v>1.0000000000000002E-13</v>
      </c>
      <c r="G215" s="6">
        <v>350</v>
      </c>
      <c r="H215" s="29">
        <f t="shared" si="15"/>
        <v>350</v>
      </c>
      <c r="I215" s="39">
        <f t="shared" si="19"/>
        <v>0.85420639966094525</v>
      </c>
      <c r="J215" s="35">
        <v>3.1186E-10</v>
      </c>
      <c r="K215" s="41">
        <f t="shared" si="18"/>
        <v>5846.863399452548</v>
      </c>
      <c r="L215" s="42">
        <f t="shared" si="16"/>
        <v>5.9861155646764574</v>
      </c>
      <c r="M215" s="33">
        <v>1.2</v>
      </c>
      <c r="N215" s="33">
        <v>0.7</v>
      </c>
      <c r="O215" s="33">
        <v>25.6</v>
      </c>
      <c r="P215" s="39">
        <f t="shared" si="17"/>
        <v>0.25600000000000001</v>
      </c>
    </row>
    <row r="216" spans="1:16" x14ac:dyDescent="0.25">
      <c r="A216" s="7"/>
      <c r="B216" s="2" t="s">
        <v>5</v>
      </c>
      <c r="C216" s="3">
        <v>1967.05</v>
      </c>
      <c r="D216" s="4" t="s">
        <v>1</v>
      </c>
      <c r="E216" s="4">
        <v>1000000000</v>
      </c>
      <c r="F216" s="5">
        <v>1.0000000000000002E-13</v>
      </c>
      <c r="G216" s="6">
        <v>350</v>
      </c>
      <c r="H216" s="29">
        <f t="shared" si="15"/>
        <v>350</v>
      </c>
      <c r="I216" s="39">
        <f t="shared" si="19"/>
        <v>0.84113624408206222</v>
      </c>
      <c r="J216" s="35">
        <v>3.1482999999999999E-10</v>
      </c>
      <c r="K216" s="41">
        <f t="shared" si="18"/>
        <v>5902.5460272226182</v>
      </c>
      <c r="L216" s="42">
        <f t="shared" si="16"/>
        <v>5.9296445700854425</v>
      </c>
      <c r="M216" s="33">
        <v>1</v>
      </c>
      <c r="N216" s="33">
        <v>1.7</v>
      </c>
      <c r="O216" s="33">
        <v>25.5</v>
      </c>
      <c r="P216" s="39">
        <f t="shared" si="17"/>
        <v>0.255</v>
      </c>
    </row>
    <row r="217" spans="1:16" x14ac:dyDescent="0.25">
      <c r="A217" s="7"/>
      <c r="B217" s="2" t="s">
        <v>6</v>
      </c>
      <c r="C217" s="3">
        <v>1967.06</v>
      </c>
      <c r="D217" s="4" t="s">
        <v>1</v>
      </c>
      <c r="E217" s="4">
        <v>1000000000</v>
      </c>
      <c r="F217" s="5">
        <v>1.0000000000000002E-13</v>
      </c>
      <c r="G217" s="6">
        <v>350</v>
      </c>
      <c r="H217" s="29">
        <f t="shared" si="15"/>
        <v>350</v>
      </c>
      <c r="I217" s="39">
        <f t="shared" si="19"/>
        <v>0.72634901844727229</v>
      </c>
      <c r="J217" s="35">
        <v>3.2853999999999998E-10</v>
      </c>
      <c r="K217" s="41">
        <f t="shared" si="18"/>
        <v>6159.58603622183</v>
      </c>
      <c r="L217" s="42">
        <f t="shared" si="16"/>
        <v>5.6822000365252334</v>
      </c>
      <c r="M217" s="33">
        <v>4.4000000000000004</v>
      </c>
      <c r="N217" s="33">
        <v>6.1</v>
      </c>
      <c r="O217" s="33">
        <v>29.8</v>
      </c>
      <c r="P217" s="39">
        <f t="shared" si="17"/>
        <v>0.29799999999999999</v>
      </c>
    </row>
    <row r="218" spans="1:16" x14ac:dyDescent="0.25">
      <c r="A218" s="7"/>
      <c r="B218" s="2" t="s">
        <v>7</v>
      </c>
      <c r="C218" s="3">
        <v>1967.07</v>
      </c>
      <c r="D218" s="4" t="s">
        <v>1</v>
      </c>
      <c r="E218" s="4">
        <v>1000000000</v>
      </c>
      <c r="F218" s="5">
        <v>1.0000000000000002E-13</v>
      </c>
      <c r="G218" s="6">
        <v>350</v>
      </c>
      <c r="H218" s="29">
        <f t="shared" si="15"/>
        <v>350</v>
      </c>
      <c r="I218" s="39">
        <f t="shared" si="19"/>
        <v>0.71661189857275986</v>
      </c>
      <c r="J218" s="35">
        <v>3.4494E-10</v>
      </c>
      <c r="K218" s="41">
        <f t="shared" si="18"/>
        <v>6467.0591323259214</v>
      </c>
      <c r="L218" s="42">
        <f t="shared" si="16"/>
        <v>5.412042674088247</v>
      </c>
      <c r="M218" s="33">
        <v>5</v>
      </c>
      <c r="N218" s="33">
        <v>11.4</v>
      </c>
      <c r="O218" s="33">
        <v>34.200000000000003</v>
      </c>
      <c r="P218" s="39">
        <f t="shared" si="17"/>
        <v>0.34200000000000003</v>
      </c>
    </row>
    <row r="219" spans="1:16" x14ac:dyDescent="0.25">
      <c r="A219" s="7"/>
      <c r="B219" s="2" t="s">
        <v>8</v>
      </c>
      <c r="C219" s="3">
        <v>1967.08</v>
      </c>
      <c r="D219" s="4" t="s">
        <v>1</v>
      </c>
      <c r="E219" s="4">
        <v>1000000000</v>
      </c>
      <c r="F219" s="5">
        <v>1.0000000000000002E-13</v>
      </c>
      <c r="G219" s="6">
        <v>350</v>
      </c>
      <c r="H219" s="29">
        <f t="shared" si="15"/>
        <v>350</v>
      </c>
      <c r="I219" s="39">
        <f t="shared" si="19"/>
        <v>0.64884345409148714</v>
      </c>
      <c r="J219" s="35">
        <v>3.4611000000000001E-10</v>
      </c>
      <c r="K219" s="41">
        <f t="shared" si="18"/>
        <v>6488.9947129626153</v>
      </c>
      <c r="L219" s="42">
        <f t="shared" si="16"/>
        <v>5.3937476524804264</v>
      </c>
      <c r="M219" s="33">
        <v>0.3</v>
      </c>
      <c r="N219" s="33">
        <v>11.8</v>
      </c>
      <c r="O219" s="33">
        <v>33.1</v>
      </c>
      <c r="P219" s="39">
        <f t="shared" si="17"/>
        <v>0.33100000000000002</v>
      </c>
    </row>
    <row r="220" spans="1:16" x14ac:dyDescent="0.25">
      <c r="A220" s="7"/>
      <c r="B220" s="2" t="s">
        <v>9</v>
      </c>
      <c r="C220" s="3">
        <v>1967.09</v>
      </c>
      <c r="D220" s="4" t="s">
        <v>1</v>
      </c>
      <c r="E220" s="4">
        <v>1000000000</v>
      </c>
      <c r="F220" s="5">
        <v>1.0000000000000002E-13</v>
      </c>
      <c r="G220" s="6">
        <v>350</v>
      </c>
      <c r="H220" s="29">
        <f t="shared" si="15"/>
        <v>350</v>
      </c>
      <c r="I220" s="39">
        <f t="shared" si="19"/>
        <v>0.61119550706624315</v>
      </c>
      <c r="J220" s="35">
        <v>3.4770999999999998E-10</v>
      </c>
      <c r="K220" s="41">
        <f t="shared" si="18"/>
        <v>6518.9920881922835</v>
      </c>
      <c r="L220" s="42">
        <f t="shared" si="16"/>
        <v>5.368928129763308</v>
      </c>
      <c r="M220" s="33">
        <v>0.5</v>
      </c>
      <c r="N220" s="33">
        <v>12.3</v>
      </c>
      <c r="O220" s="33">
        <v>31.7</v>
      </c>
      <c r="P220" s="39">
        <f t="shared" si="17"/>
        <v>0.317</v>
      </c>
    </row>
    <row r="221" spans="1:16" x14ac:dyDescent="0.25">
      <c r="A221" s="7"/>
      <c r="B221" s="2" t="s">
        <v>10</v>
      </c>
      <c r="C221" s="3">
        <v>1967.1</v>
      </c>
      <c r="D221" s="4" t="s">
        <v>1</v>
      </c>
      <c r="E221" s="4">
        <v>1000000000</v>
      </c>
      <c r="F221" s="5">
        <v>1.0000000000000002E-13</v>
      </c>
      <c r="G221" s="6">
        <v>350</v>
      </c>
      <c r="H221" s="29">
        <f t="shared" si="15"/>
        <v>350</v>
      </c>
      <c r="I221" s="39">
        <f t="shared" si="19"/>
        <v>0.60860373196065809</v>
      </c>
      <c r="J221" s="35">
        <v>3.5767000000000002E-10</v>
      </c>
      <c r="K221" s="41">
        <f t="shared" si="18"/>
        <v>6705.7257489969625</v>
      </c>
      <c r="L221" s="42">
        <f t="shared" si="16"/>
        <v>5.2194201358794423</v>
      </c>
      <c r="M221" s="33">
        <v>2.9</v>
      </c>
      <c r="N221" s="33">
        <v>15.5</v>
      </c>
      <c r="O221" s="33">
        <v>31.3</v>
      </c>
      <c r="P221" s="39">
        <f t="shared" si="17"/>
        <v>0.313</v>
      </c>
    </row>
    <row r="222" spans="1:16" x14ac:dyDescent="0.25">
      <c r="A222" s="7"/>
      <c r="B222" s="2" t="s">
        <v>11</v>
      </c>
      <c r="C222" s="3">
        <v>1967.11</v>
      </c>
      <c r="D222" s="4" t="s">
        <v>1</v>
      </c>
      <c r="E222" s="4">
        <v>1000000000</v>
      </c>
      <c r="F222" s="5">
        <v>1.0000000000000002E-13</v>
      </c>
      <c r="G222" s="6">
        <v>350</v>
      </c>
      <c r="H222" s="29">
        <f t="shared" si="15"/>
        <v>350</v>
      </c>
      <c r="I222" s="39">
        <f t="shared" si="19"/>
        <v>0.43073212606793931</v>
      </c>
      <c r="J222" s="35">
        <v>3.6590999999999998E-10</v>
      </c>
      <c r="K222" s="41">
        <f t="shared" si="18"/>
        <v>6860.2122314297503</v>
      </c>
      <c r="L222" s="42">
        <f t="shared" si="16"/>
        <v>5.1018829766882563</v>
      </c>
      <c r="M222" s="33">
        <v>2.2999999999999998</v>
      </c>
      <c r="N222" s="33">
        <v>18.100000000000001</v>
      </c>
      <c r="O222" s="33">
        <v>31.3</v>
      </c>
      <c r="P222" s="39">
        <f t="shared" si="17"/>
        <v>0.313</v>
      </c>
    </row>
    <row r="223" spans="1:16" x14ac:dyDescent="0.25">
      <c r="A223" s="7"/>
      <c r="B223" s="2" t="s">
        <v>12</v>
      </c>
      <c r="C223" s="3">
        <v>1967.12</v>
      </c>
      <c r="D223" s="4" t="s">
        <v>1</v>
      </c>
      <c r="E223" s="4">
        <v>1000000000</v>
      </c>
      <c r="F223" s="5">
        <v>1.0000000000000002E-13</v>
      </c>
      <c r="G223" s="6">
        <v>350</v>
      </c>
      <c r="H223" s="29">
        <f t="shared" si="15"/>
        <v>350</v>
      </c>
      <c r="I223" s="39">
        <f t="shared" si="19"/>
        <v>0.42490738102023373</v>
      </c>
      <c r="J223" s="35">
        <v>3.9442000000000002E-10</v>
      </c>
      <c r="K223" s="41">
        <f t="shared" si="18"/>
        <v>7394.727961303387</v>
      </c>
      <c r="L223" s="42">
        <f t="shared" si="16"/>
        <v>4.7331017696871349</v>
      </c>
      <c r="M223" s="33">
        <v>7.8</v>
      </c>
      <c r="N223" s="33">
        <v>27.4</v>
      </c>
      <c r="O223" s="33">
        <v>27.4</v>
      </c>
      <c r="P223" s="39">
        <f t="shared" si="17"/>
        <v>0.27399999999999997</v>
      </c>
    </row>
    <row r="224" spans="1:16" x14ac:dyDescent="0.25">
      <c r="A224" s="1">
        <v>1968.01</v>
      </c>
      <c r="B224" s="2" t="s">
        <v>13</v>
      </c>
      <c r="C224" s="3">
        <v>1968.01</v>
      </c>
      <c r="D224" s="4" t="s">
        <v>1</v>
      </c>
      <c r="E224" s="4">
        <v>1000000000</v>
      </c>
      <c r="F224" s="5">
        <v>1.0000000000000002E-13</v>
      </c>
      <c r="G224" s="6">
        <v>350</v>
      </c>
      <c r="H224" s="29">
        <f t="shared" si="15"/>
        <v>350</v>
      </c>
      <c r="I224" s="39">
        <f t="shared" si="19"/>
        <v>0.42479136983513133</v>
      </c>
      <c r="J224" s="35">
        <v>3.8086000000000002E-10</v>
      </c>
      <c r="K224" s="41">
        <f t="shared" si="18"/>
        <v>7140.5002062319554</v>
      </c>
      <c r="L224" s="42">
        <f t="shared" si="16"/>
        <v>4.9016173922176121</v>
      </c>
      <c r="M224" s="33">
        <v>-3.4</v>
      </c>
      <c r="N224" s="33">
        <v>-3.4</v>
      </c>
      <c r="O224" s="33">
        <v>29</v>
      </c>
      <c r="P224" s="39">
        <f t="shared" si="17"/>
        <v>0.28999999999999998</v>
      </c>
    </row>
    <row r="225" spans="1:16" x14ac:dyDescent="0.25">
      <c r="A225" s="7"/>
      <c r="B225" s="2" t="s">
        <v>2</v>
      </c>
      <c r="C225" s="3">
        <v>1968.02</v>
      </c>
      <c r="D225" s="4" t="s">
        <v>1</v>
      </c>
      <c r="E225" s="4">
        <v>1000000000</v>
      </c>
      <c r="F225" s="5">
        <v>1.0000000000000002E-13</v>
      </c>
      <c r="G225" s="6">
        <v>350</v>
      </c>
      <c r="H225" s="29">
        <f t="shared" si="15"/>
        <v>350</v>
      </c>
      <c r="I225" s="39">
        <f t="shared" si="19"/>
        <v>0.39453342895848276</v>
      </c>
      <c r="J225" s="35">
        <v>3.8459000000000001E-10</v>
      </c>
      <c r="K225" s="41">
        <f t="shared" si="18"/>
        <v>7210.4315872361176</v>
      </c>
      <c r="L225" s="42">
        <f t="shared" si="16"/>
        <v>4.854078369172365</v>
      </c>
      <c r="M225" s="33">
        <v>1</v>
      </c>
      <c r="N225" s="33">
        <v>-2.5</v>
      </c>
      <c r="O225" s="33">
        <v>27.6</v>
      </c>
      <c r="P225" s="39">
        <f t="shared" si="17"/>
        <v>0.27600000000000002</v>
      </c>
    </row>
    <row r="226" spans="1:16" x14ac:dyDescent="0.25">
      <c r="A226" s="7"/>
      <c r="B226" s="2" t="s">
        <v>3</v>
      </c>
      <c r="C226" s="3">
        <v>1968.03</v>
      </c>
      <c r="D226" s="4" t="s">
        <v>1</v>
      </c>
      <c r="E226" s="4">
        <v>1000000000</v>
      </c>
      <c r="F226" s="5">
        <v>1.0000000000000002E-13</v>
      </c>
      <c r="G226" s="6">
        <v>350</v>
      </c>
      <c r="H226" s="29">
        <f t="shared" si="15"/>
        <v>350</v>
      </c>
      <c r="I226" s="39">
        <f t="shared" si="19"/>
        <v>7.0467335453878288E-2</v>
      </c>
      <c r="J226" s="35">
        <v>3.821E-10</v>
      </c>
      <c r="K226" s="41">
        <f t="shared" si="18"/>
        <v>7163.7481720349479</v>
      </c>
      <c r="L226" s="42">
        <f t="shared" si="16"/>
        <v>4.8857105469772302</v>
      </c>
      <c r="M226" s="33">
        <v>-0.6</v>
      </c>
      <c r="N226" s="33">
        <v>-3.1</v>
      </c>
      <c r="O226" s="33">
        <v>24</v>
      </c>
      <c r="P226" s="39">
        <f t="shared" si="17"/>
        <v>0.24</v>
      </c>
    </row>
    <row r="227" spans="1:16" x14ac:dyDescent="0.25">
      <c r="A227" s="7"/>
      <c r="B227" s="2" t="s">
        <v>4</v>
      </c>
      <c r="C227" s="3">
        <v>1968.04</v>
      </c>
      <c r="D227" s="4" t="s">
        <v>1</v>
      </c>
      <c r="E227" s="4">
        <v>1000000000</v>
      </c>
      <c r="F227" s="5">
        <v>1.0000000000000002E-13</v>
      </c>
      <c r="G227" s="6">
        <v>350</v>
      </c>
      <c r="H227" s="29">
        <f t="shared" si="15"/>
        <v>350</v>
      </c>
      <c r="I227" s="39">
        <f t="shared" si="19"/>
        <v>0</v>
      </c>
      <c r="J227" s="35">
        <v>3.8051000000000001E-10</v>
      </c>
      <c r="K227" s="41">
        <f t="shared" si="18"/>
        <v>7133.9382804004654</v>
      </c>
      <c r="L227" s="42">
        <f t="shared" si="16"/>
        <v>4.906125988804499</v>
      </c>
      <c r="M227" s="33">
        <v>-0.4</v>
      </c>
      <c r="N227" s="33">
        <v>-3.5</v>
      </c>
      <c r="O227" s="33">
        <v>22</v>
      </c>
      <c r="P227" s="39">
        <f t="shared" si="17"/>
        <v>0.22</v>
      </c>
    </row>
    <row r="228" spans="1:16" x14ac:dyDescent="0.25">
      <c r="A228" s="7"/>
      <c r="B228" s="2" t="s">
        <v>5</v>
      </c>
      <c r="C228" s="3">
        <v>1968.05</v>
      </c>
      <c r="D228" s="4" t="s">
        <v>1</v>
      </c>
      <c r="E228" s="4">
        <v>1000000000</v>
      </c>
      <c r="F228" s="5">
        <v>1.0000000000000002E-13</v>
      </c>
      <c r="G228" s="6">
        <v>350</v>
      </c>
      <c r="H228" s="29">
        <f t="shared" si="15"/>
        <v>350</v>
      </c>
      <c r="I228" s="39">
        <f t="shared" si="19"/>
        <v>0</v>
      </c>
      <c r="J228" s="35">
        <v>3.8093E-10</v>
      </c>
      <c r="K228" s="41">
        <f t="shared" si="18"/>
        <v>7141.8125913982531</v>
      </c>
      <c r="L228" s="42">
        <f t="shared" si="16"/>
        <v>4.9007166671041924</v>
      </c>
      <c r="M228" s="33">
        <v>0.1</v>
      </c>
      <c r="N228" s="33">
        <v>-3.4</v>
      </c>
      <c r="O228" s="33">
        <v>21</v>
      </c>
      <c r="P228" s="39">
        <f t="shared" si="17"/>
        <v>0.21</v>
      </c>
    </row>
    <row r="229" spans="1:16" x14ac:dyDescent="0.25">
      <c r="A229" s="7"/>
      <c r="B229" s="2" t="s">
        <v>6</v>
      </c>
      <c r="C229" s="3">
        <v>1968.06</v>
      </c>
      <c r="D229" s="4" t="s">
        <v>1</v>
      </c>
      <c r="E229" s="4">
        <v>1000000000</v>
      </c>
      <c r="F229" s="5">
        <v>1.0000000000000002E-13</v>
      </c>
      <c r="G229" s="6">
        <v>350</v>
      </c>
      <c r="H229" s="29">
        <f t="shared" si="15"/>
        <v>350</v>
      </c>
      <c r="I229" s="39">
        <f t="shared" si="19"/>
        <v>0</v>
      </c>
      <c r="J229" s="35">
        <v>3.8225E-10</v>
      </c>
      <c r="K229" s="41">
        <f t="shared" si="18"/>
        <v>7166.5604259627289</v>
      </c>
      <c r="L229" s="42">
        <f t="shared" si="16"/>
        <v>4.8837933289731854</v>
      </c>
      <c r="M229" s="33">
        <v>0.3</v>
      </c>
      <c r="N229" s="33">
        <v>-3.1</v>
      </c>
      <c r="O229" s="33">
        <v>16.3</v>
      </c>
      <c r="P229" s="39">
        <f t="shared" si="17"/>
        <v>0.16300000000000001</v>
      </c>
    </row>
    <row r="230" spans="1:16" x14ac:dyDescent="0.25">
      <c r="A230" s="7"/>
      <c r="B230" s="2" t="s">
        <v>7</v>
      </c>
      <c r="C230" s="3">
        <v>1968.07</v>
      </c>
      <c r="D230" s="4" t="s">
        <v>1</v>
      </c>
      <c r="E230" s="4">
        <v>1000000000</v>
      </c>
      <c r="F230" s="5">
        <v>1.0000000000000002E-13</v>
      </c>
      <c r="G230" s="6">
        <v>350</v>
      </c>
      <c r="H230" s="29">
        <f t="shared" si="15"/>
        <v>350</v>
      </c>
      <c r="I230" s="39">
        <f t="shared" si="19"/>
        <v>0</v>
      </c>
      <c r="J230" s="35">
        <v>3.8203000000000002E-10</v>
      </c>
      <c r="K230" s="41">
        <f t="shared" si="18"/>
        <v>7162.4357868686493</v>
      </c>
      <c r="L230" s="42">
        <f t="shared" si="16"/>
        <v>4.8866057639452398</v>
      </c>
      <c r="M230" s="33">
        <v>-0.1</v>
      </c>
      <c r="N230" s="33">
        <v>-3.1</v>
      </c>
      <c r="O230" s="33">
        <v>10.8</v>
      </c>
      <c r="P230" s="39">
        <f t="shared" si="17"/>
        <v>0.10800000000000001</v>
      </c>
    </row>
    <row r="231" spans="1:16" x14ac:dyDescent="0.25">
      <c r="A231" s="7"/>
      <c r="B231" s="2" t="s">
        <v>8</v>
      </c>
      <c r="C231" s="3">
        <v>1968.08</v>
      </c>
      <c r="D231" s="4" t="s">
        <v>1</v>
      </c>
      <c r="E231" s="4">
        <v>1000000000</v>
      </c>
      <c r="F231" s="5">
        <v>1.0000000000000002E-13</v>
      </c>
      <c r="G231" s="6">
        <v>350</v>
      </c>
      <c r="H231" s="29">
        <f t="shared" si="15"/>
        <v>350</v>
      </c>
      <c r="I231" s="39">
        <f t="shared" si="19"/>
        <v>0</v>
      </c>
      <c r="J231" s="35">
        <v>3.8266E-10</v>
      </c>
      <c r="K231" s="41">
        <f t="shared" si="18"/>
        <v>7174.2472533653308</v>
      </c>
      <c r="L231" s="42">
        <f t="shared" si="16"/>
        <v>4.8785606021010821</v>
      </c>
      <c r="M231" s="33">
        <v>0.2</v>
      </c>
      <c r="N231" s="33">
        <v>-3</v>
      </c>
      <c r="O231" s="33">
        <v>10.6</v>
      </c>
      <c r="P231" s="39">
        <f t="shared" si="17"/>
        <v>0.106</v>
      </c>
    </row>
    <row r="232" spans="1:16" x14ac:dyDescent="0.25">
      <c r="A232" s="7"/>
      <c r="B232" s="2" t="s">
        <v>9</v>
      </c>
      <c r="C232" s="3">
        <v>1968.09</v>
      </c>
      <c r="D232" s="4" t="s">
        <v>1</v>
      </c>
      <c r="E232" s="4">
        <v>1000000000</v>
      </c>
      <c r="F232" s="5">
        <v>1.0000000000000002E-13</v>
      </c>
      <c r="G232" s="6">
        <v>350</v>
      </c>
      <c r="H232" s="29">
        <f t="shared" si="15"/>
        <v>350</v>
      </c>
      <c r="I232" s="39">
        <f t="shared" si="19"/>
        <v>0</v>
      </c>
      <c r="J232" s="35">
        <v>3.8799000000000002E-10</v>
      </c>
      <c r="K232" s="41">
        <f t="shared" si="18"/>
        <v>7274.1760095991613</v>
      </c>
      <c r="L232" s="42">
        <f t="shared" si="16"/>
        <v>4.8115415345756327</v>
      </c>
      <c r="M232" s="33">
        <v>1.4</v>
      </c>
      <c r="N232" s="33">
        <v>-1.6</v>
      </c>
      <c r="O232" s="33">
        <v>11.6</v>
      </c>
      <c r="P232" s="39">
        <f t="shared" si="17"/>
        <v>0.11599999999999999</v>
      </c>
    </row>
    <row r="233" spans="1:16" x14ac:dyDescent="0.25">
      <c r="A233" s="7"/>
      <c r="B233" s="2" t="s">
        <v>10</v>
      </c>
      <c r="C233" s="3">
        <v>1968.1</v>
      </c>
      <c r="D233" s="4" t="s">
        <v>1</v>
      </c>
      <c r="E233" s="4">
        <v>1000000000</v>
      </c>
      <c r="F233" s="5">
        <v>1.0000000000000002E-13</v>
      </c>
      <c r="G233" s="6">
        <v>350</v>
      </c>
      <c r="H233" s="29">
        <f t="shared" si="15"/>
        <v>350</v>
      </c>
      <c r="I233" s="39">
        <f t="shared" si="19"/>
        <v>0</v>
      </c>
      <c r="J233" s="35">
        <v>3.9560000000000001E-10</v>
      </c>
      <c r="K233" s="41">
        <f t="shared" si="18"/>
        <v>7416.8510255352658</v>
      </c>
      <c r="L233" s="42">
        <f t="shared" si="16"/>
        <v>4.7189838220424667</v>
      </c>
      <c r="M233" s="33">
        <v>2</v>
      </c>
      <c r="N233" s="33">
        <v>0.3</v>
      </c>
      <c r="O233" s="33">
        <v>10.6</v>
      </c>
      <c r="P233" s="39">
        <f t="shared" si="17"/>
        <v>0.106</v>
      </c>
    </row>
    <row r="234" spans="1:16" x14ac:dyDescent="0.25">
      <c r="A234" s="7"/>
      <c r="B234" s="2" t="s">
        <v>11</v>
      </c>
      <c r="C234" s="3">
        <v>1968.11</v>
      </c>
      <c r="D234" s="4" t="s">
        <v>1</v>
      </c>
      <c r="E234" s="4">
        <v>1000000000</v>
      </c>
      <c r="F234" s="5">
        <v>1.0000000000000002E-13</v>
      </c>
      <c r="G234" s="6">
        <v>350</v>
      </c>
      <c r="H234" s="29">
        <f t="shared" si="15"/>
        <v>350</v>
      </c>
      <c r="I234" s="39">
        <f t="shared" si="19"/>
        <v>0</v>
      </c>
      <c r="J234" s="35">
        <v>3.9690999999999998E-10</v>
      </c>
      <c r="K234" s="41">
        <f t="shared" si="18"/>
        <v>7441.4113765045549</v>
      </c>
      <c r="L234" s="42">
        <f t="shared" si="16"/>
        <v>4.7034088332367547</v>
      </c>
      <c r="M234" s="33">
        <v>0.3</v>
      </c>
      <c r="N234" s="33">
        <v>0.6</v>
      </c>
      <c r="O234" s="33">
        <v>8.5</v>
      </c>
      <c r="P234" s="39">
        <f t="shared" si="17"/>
        <v>8.5000000000000006E-2</v>
      </c>
    </row>
    <row r="235" spans="1:16" x14ac:dyDescent="0.25">
      <c r="A235" s="7"/>
      <c r="B235" s="2" t="s">
        <v>12</v>
      </c>
      <c r="C235" s="3">
        <v>1968.12</v>
      </c>
      <c r="D235" s="4" t="s">
        <v>1</v>
      </c>
      <c r="E235" s="4">
        <v>1000000000</v>
      </c>
      <c r="F235" s="5">
        <v>1.0000000000000002E-13</v>
      </c>
      <c r="G235" s="6">
        <v>350</v>
      </c>
      <c r="H235" s="29">
        <f t="shared" si="15"/>
        <v>350</v>
      </c>
      <c r="I235" s="39">
        <f t="shared" si="19"/>
        <v>0</v>
      </c>
      <c r="J235" s="35">
        <v>4.3214000000000002E-10</v>
      </c>
      <c r="K235" s="41">
        <f t="shared" si="18"/>
        <v>8101.9160823427956</v>
      </c>
      <c r="L235" s="42">
        <f t="shared" si="16"/>
        <v>4.319965751839681</v>
      </c>
      <c r="M235" s="33">
        <v>8.9</v>
      </c>
      <c r="N235" s="33">
        <v>9.6</v>
      </c>
      <c r="O235" s="33">
        <v>9.6</v>
      </c>
      <c r="P235" s="39">
        <f t="shared" si="17"/>
        <v>9.6000000000000002E-2</v>
      </c>
    </row>
    <row r="236" spans="1:16" x14ac:dyDescent="0.25">
      <c r="A236" s="1">
        <v>1969.01</v>
      </c>
      <c r="B236" s="2" t="s">
        <v>0</v>
      </c>
      <c r="C236" s="3">
        <v>1969.01</v>
      </c>
      <c r="D236" s="4" t="s">
        <v>1</v>
      </c>
      <c r="E236" s="4">
        <v>1000000000</v>
      </c>
      <c r="F236" s="5">
        <v>1.0000000000000002E-13</v>
      </c>
      <c r="G236" s="6">
        <v>350</v>
      </c>
      <c r="H236" s="29">
        <f t="shared" si="15"/>
        <v>350</v>
      </c>
      <c r="I236" s="39">
        <f t="shared" si="19"/>
        <v>0</v>
      </c>
      <c r="J236" s="35">
        <v>4.1221000000000002E-10</v>
      </c>
      <c r="K236" s="41">
        <f t="shared" si="18"/>
        <v>7728.261277138251</v>
      </c>
      <c r="L236" s="42">
        <f t="shared" si="16"/>
        <v>4.5288323912568833</v>
      </c>
      <c r="M236" s="33">
        <v>-4.5999999999999996</v>
      </c>
      <c r="N236" s="33">
        <v>-4.5999999999999996</v>
      </c>
      <c r="O236" s="33">
        <v>8.1999999999999993</v>
      </c>
      <c r="P236" s="39">
        <f t="shared" si="17"/>
        <v>8.199999999999999E-2</v>
      </c>
    </row>
    <row r="237" spans="1:16" x14ac:dyDescent="0.25">
      <c r="A237" s="7"/>
      <c r="B237" s="2" t="s">
        <v>2</v>
      </c>
      <c r="C237" s="3">
        <v>1969.02</v>
      </c>
      <c r="D237" s="4" t="s">
        <v>1</v>
      </c>
      <c r="E237" s="4">
        <v>1000000000</v>
      </c>
      <c r="F237" s="5">
        <v>1.0000000000000002E-13</v>
      </c>
      <c r="G237" s="6">
        <v>350</v>
      </c>
      <c r="H237" s="29">
        <f t="shared" si="15"/>
        <v>350</v>
      </c>
      <c r="I237" s="39">
        <f t="shared" si="19"/>
        <v>0</v>
      </c>
      <c r="J237" s="35">
        <v>4.0667E-10</v>
      </c>
      <c r="K237" s="41">
        <f t="shared" si="18"/>
        <v>7624.3953654055276</v>
      </c>
      <c r="L237" s="42">
        <f t="shared" si="16"/>
        <v>4.5905279464922417</v>
      </c>
      <c r="M237" s="33">
        <v>-1.3</v>
      </c>
      <c r="N237" s="33">
        <v>-5.9</v>
      </c>
      <c r="O237" s="33">
        <v>5.7</v>
      </c>
      <c r="P237" s="39">
        <f t="shared" si="17"/>
        <v>5.7000000000000002E-2</v>
      </c>
    </row>
    <row r="238" spans="1:16" x14ac:dyDescent="0.25">
      <c r="A238" s="7"/>
      <c r="B238" s="2" t="s">
        <v>3</v>
      </c>
      <c r="C238" s="3">
        <v>1969.03</v>
      </c>
      <c r="D238" s="4" t="s">
        <v>1</v>
      </c>
      <c r="E238" s="4">
        <v>1000000000</v>
      </c>
      <c r="F238" s="5">
        <v>1.0000000000000002E-13</v>
      </c>
      <c r="G238" s="6">
        <v>350</v>
      </c>
      <c r="H238" s="29">
        <f t="shared" si="15"/>
        <v>350</v>
      </c>
      <c r="I238" s="39">
        <f t="shared" si="19"/>
        <v>0</v>
      </c>
      <c r="J238" s="35">
        <v>4.1124000000000002E-10</v>
      </c>
      <c r="K238" s="41">
        <f t="shared" si="18"/>
        <v>7710.0753684052661</v>
      </c>
      <c r="L238" s="42">
        <f t="shared" si="16"/>
        <v>4.5395146386538263</v>
      </c>
      <c r="M238" s="33">
        <v>1.1000000000000001</v>
      </c>
      <c r="N238" s="33">
        <v>-4.8</v>
      </c>
      <c r="O238" s="33">
        <v>7.6</v>
      </c>
      <c r="P238" s="39">
        <f t="shared" si="17"/>
        <v>7.5999999999999998E-2</v>
      </c>
    </row>
    <row r="239" spans="1:16" x14ac:dyDescent="0.25">
      <c r="A239" s="7"/>
      <c r="B239" s="2" t="s">
        <v>4</v>
      </c>
      <c r="C239" s="3">
        <v>1969.04</v>
      </c>
      <c r="D239" s="4" t="s">
        <v>1</v>
      </c>
      <c r="E239" s="4">
        <v>1000000000</v>
      </c>
      <c r="F239" s="5">
        <v>1.0000000000000002E-13</v>
      </c>
      <c r="G239" s="6">
        <v>350</v>
      </c>
      <c r="H239" s="29">
        <f t="shared" si="15"/>
        <v>350</v>
      </c>
      <c r="I239" s="39">
        <f t="shared" si="19"/>
        <v>0</v>
      </c>
      <c r="J239" s="35">
        <v>4.1166E-10</v>
      </c>
      <c r="K239" s="41">
        <f t="shared" si="18"/>
        <v>7717.9496794030529</v>
      </c>
      <c r="L239" s="42">
        <f t="shared" si="16"/>
        <v>4.5348831560025262</v>
      </c>
      <c r="M239" s="33">
        <v>0.1</v>
      </c>
      <c r="N239" s="33">
        <v>-4.7</v>
      </c>
      <c r="O239" s="33">
        <v>8.1999999999999993</v>
      </c>
      <c r="P239" s="39">
        <f t="shared" si="17"/>
        <v>8.199999999999999E-2</v>
      </c>
    </row>
    <row r="240" spans="1:16" x14ac:dyDescent="0.25">
      <c r="A240" s="7"/>
      <c r="B240" s="2" t="s">
        <v>5</v>
      </c>
      <c r="C240" s="3">
        <v>1969.05</v>
      </c>
      <c r="D240" s="4" t="s">
        <v>1</v>
      </c>
      <c r="E240" s="4">
        <v>1000000000</v>
      </c>
      <c r="F240" s="5">
        <v>1.0000000000000002E-13</v>
      </c>
      <c r="G240" s="6">
        <v>350</v>
      </c>
      <c r="H240" s="29">
        <f t="shared" si="15"/>
        <v>350</v>
      </c>
      <c r="I240" s="39">
        <f t="shared" si="19"/>
        <v>0</v>
      </c>
      <c r="J240" s="35">
        <v>4.0597999999999998E-10</v>
      </c>
      <c r="K240" s="41">
        <f t="shared" si="18"/>
        <v>7611.4589973377324</v>
      </c>
      <c r="L240" s="42">
        <f t="shared" si="16"/>
        <v>4.5983299669934485</v>
      </c>
      <c r="M240" s="33">
        <v>-1.4</v>
      </c>
      <c r="N240" s="33">
        <v>-6.1</v>
      </c>
      <c r="O240" s="33">
        <v>6.6</v>
      </c>
      <c r="P240" s="39">
        <f t="shared" si="17"/>
        <v>6.6000000000000003E-2</v>
      </c>
    </row>
    <row r="241" spans="1:16" x14ac:dyDescent="0.25">
      <c r="A241" s="7"/>
      <c r="B241" s="2" t="s">
        <v>6</v>
      </c>
      <c r="C241" s="3">
        <v>1969.06</v>
      </c>
      <c r="D241" s="4" t="s">
        <v>1</v>
      </c>
      <c r="E241" s="4">
        <v>1000000000</v>
      </c>
      <c r="F241" s="5">
        <v>1.0000000000000002E-13</v>
      </c>
      <c r="G241" s="6">
        <v>350</v>
      </c>
      <c r="H241" s="29">
        <f t="shared" si="15"/>
        <v>350</v>
      </c>
      <c r="I241" s="39">
        <f t="shared" si="19"/>
        <v>0</v>
      </c>
      <c r="J241" s="35">
        <v>4.0999E-10</v>
      </c>
      <c r="K241" s="41">
        <f t="shared" si="18"/>
        <v>7686.6399190070879</v>
      </c>
      <c r="L241" s="42">
        <f t="shared" si="16"/>
        <v>4.55335495987707</v>
      </c>
      <c r="M241" s="33">
        <v>1</v>
      </c>
      <c r="N241" s="33">
        <v>-5.0999999999999996</v>
      </c>
      <c r="O241" s="33">
        <v>7.3</v>
      </c>
      <c r="P241" s="39">
        <f t="shared" si="17"/>
        <v>7.2999999999999995E-2</v>
      </c>
    </row>
    <row r="242" spans="1:16" x14ac:dyDescent="0.25">
      <c r="A242" s="7"/>
      <c r="B242" s="2" t="s">
        <v>7</v>
      </c>
      <c r="C242" s="3">
        <v>1969.07</v>
      </c>
      <c r="D242" s="4" t="s">
        <v>1</v>
      </c>
      <c r="E242" s="4">
        <v>1000000000</v>
      </c>
      <c r="F242" s="5">
        <v>1.0000000000000002E-13</v>
      </c>
      <c r="G242" s="6">
        <v>350</v>
      </c>
      <c r="H242" s="29">
        <f t="shared" si="15"/>
        <v>350</v>
      </c>
      <c r="I242" s="39">
        <f t="shared" si="19"/>
        <v>0</v>
      </c>
      <c r="J242" s="35">
        <v>4.1545999999999998E-10</v>
      </c>
      <c r="K242" s="41">
        <f t="shared" si="18"/>
        <v>7789.1934455735127</v>
      </c>
      <c r="L242" s="42">
        <f t="shared" si="16"/>
        <v>4.4934049005921146</v>
      </c>
      <c r="M242" s="33">
        <v>1.3</v>
      </c>
      <c r="N242" s="33">
        <v>-3.9</v>
      </c>
      <c r="O242" s="33">
        <v>8.6999999999999993</v>
      </c>
      <c r="P242" s="39">
        <f t="shared" si="17"/>
        <v>8.6999999999999994E-2</v>
      </c>
    </row>
    <row r="243" spans="1:16" x14ac:dyDescent="0.25">
      <c r="A243" s="7"/>
      <c r="B243" s="2" t="s">
        <v>8</v>
      </c>
      <c r="C243" s="3">
        <v>1969.08</v>
      </c>
      <c r="D243" s="4" t="s">
        <v>1</v>
      </c>
      <c r="E243" s="4">
        <v>1000000000</v>
      </c>
      <c r="F243" s="5">
        <v>1.0000000000000002E-13</v>
      </c>
      <c r="G243" s="6">
        <v>350</v>
      </c>
      <c r="H243" s="29">
        <f t="shared" si="15"/>
        <v>350</v>
      </c>
      <c r="I243" s="39">
        <f t="shared" si="19"/>
        <v>0</v>
      </c>
      <c r="J243" s="35">
        <v>4.1234999999999998E-10</v>
      </c>
      <c r="K243" s="41">
        <f t="shared" si="18"/>
        <v>7730.8860474708463</v>
      </c>
      <c r="L243" s="42">
        <f t="shared" si="16"/>
        <v>4.5272947738571601</v>
      </c>
      <c r="M243" s="33">
        <v>-0.7</v>
      </c>
      <c r="N243" s="33">
        <v>-4.5999999999999996</v>
      </c>
      <c r="O243" s="33">
        <v>7.8</v>
      </c>
      <c r="P243" s="39">
        <f t="shared" si="17"/>
        <v>7.8E-2</v>
      </c>
    </row>
    <row r="244" spans="1:16" x14ac:dyDescent="0.25">
      <c r="A244" s="7"/>
      <c r="B244" s="2" t="s">
        <v>9</v>
      </c>
      <c r="C244" s="3">
        <v>1969.09</v>
      </c>
      <c r="D244" s="4" t="s">
        <v>1</v>
      </c>
      <c r="E244" s="4">
        <v>1000000000</v>
      </c>
      <c r="F244" s="5">
        <v>1.0000000000000002E-13</v>
      </c>
      <c r="G244" s="6">
        <v>350</v>
      </c>
      <c r="H244" s="29">
        <f t="shared" si="15"/>
        <v>350</v>
      </c>
      <c r="I244" s="39">
        <f t="shared" si="19"/>
        <v>0</v>
      </c>
      <c r="J244" s="35">
        <v>4.2003E-10</v>
      </c>
      <c r="K244" s="41">
        <f t="shared" si="18"/>
        <v>7874.8734485732502</v>
      </c>
      <c r="L244" s="42">
        <f t="shared" si="16"/>
        <v>4.4445158679141965</v>
      </c>
      <c r="M244" s="33">
        <v>1.9</v>
      </c>
      <c r="N244" s="33">
        <v>-2.8</v>
      </c>
      <c r="O244" s="33">
        <v>8.3000000000000007</v>
      </c>
      <c r="P244" s="39">
        <f t="shared" si="17"/>
        <v>8.3000000000000004E-2</v>
      </c>
    </row>
    <row r="245" spans="1:16" x14ac:dyDescent="0.25">
      <c r="A245" s="7"/>
      <c r="B245" s="2" t="s">
        <v>10</v>
      </c>
      <c r="C245" s="3">
        <v>1969.1</v>
      </c>
      <c r="D245" s="4" t="s">
        <v>1</v>
      </c>
      <c r="E245" s="4">
        <v>1000000000</v>
      </c>
      <c r="F245" s="5">
        <v>1.0000000000000002E-13</v>
      </c>
      <c r="G245" s="6">
        <v>350</v>
      </c>
      <c r="H245" s="29">
        <f t="shared" si="15"/>
        <v>350</v>
      </c>
      <c r="I245" s="39">
        <f t="shared" si="19"/>
        <v>0</v>
      </c>
      <c r="J245" s="35">
        <v>4.264E-10</v>
      </c>
      <c r="K245" s="41">
        <f t="shared" si="18"/>
        <v>7994.3004987063632</v>
      </c>
      <c r="L245" s="42">
        <f t="shared" si="16"/>
        <v>4.3781191369606001</v>
      </c>
      <c r="M245" s="33">
        <v>1.5</v>
      </c>
      <c r="N245" s="33">
        <v>-1.3</v>
      </c>
      <c r="O245" s="33">
        <v>7.8</v>
      </c>
      <c r="P245" s="39">
        <f t="shared" si="17"/>
        <v>7.8E-2</v>
      </c>
    </row>
    <row r="246" spans="1:16" x14ac:dyDescent="0.25">
      <c r="A246" s="7"/>
      <c r="B246" s="2" t="s">
        <v>11</v>
      </c>
      <c r="C246" s="3">
        <v>1969.11</v>
      </c>
      <c r="D246" s="4" t="s">
        <v>1</v>
      </c>
      <c r="E246" s="4">
        <v>1000000000</v>
      </c>
      <c r="F246" s="5">
        <v>1.0000000000000002E-13</v>
      </c>
      <c r="G246" s="6">
        <v>350</v>
      </c>
      <c r="H246" s="29">
        <f t="shared" si="15"/>
        <v>350</v>
      </c>
      <c r="I246" s="39">
        <f t="shared" si="19"/>
        <v>0</v>
      </c>
      <c r="J246" s="35">
        <v>4.2944000000000002E-10</v>
      </c>
      <c r="K246" s="41">
        <f t="shared" si="18"/>
        <v>8051.295511642732</v>
      </c>
      <c r="L246" s="42">
        <f t="shared" si="16"/>
        <v>4.3471264903129647</v>
      </c>
      <c r="M246" s="33">
        <v>0.7</v>
      </c>
      <c r="N246" s="33">
        <v>-0.6</v>
      </c>
      <c r="O246" s="33">
        <v>8.1999999999999993</v>
      </c>
      <c r="P246" s="39">
        <f t="shared" si="17"/>
        <v>8.199999999999999E-2</v>
      </c>
    </row>
    <row r="247" spans="1:16" x14ac:dyDescent="0.25">
      <c r="A247" s="7"/>
      <c r="B247" s="2" t="s">
        <v>12</v>
      </c>
      <c r="C247" s="3">
        <v>1969.12</v>
      </c>
      <c r="D247" s="4" t="s">
        <v>1</v>
      </c>
      <c r="E247" s="4">
        <v>1000000000</v>
      </c>
      <c r="F247" s="5">
        <v>1.0000000000000002E-13</v>
      </c>
      <c r="G247" s="6">
        <v>350</v>
      </c>
      <c r="H247" s="29">
        <f t="shared" si="15"/>
        <v>350</v>
      </c>
      <c r="I247" s="39">
        <f t="shared" si="19"/>
        <v>0</v>
      </c>
      <c r="J247" s="35">
        <v>4.6092999999999998E-10</v>
      </c>
      <c r="K247" s="41">
        <f t="shared" si="18"/>
        <v>8641.6813528816238</v>
      </c>
      <c r="L247" s="42">
        <f t="shared" si="16"/>
        <v>4.0501377649534636</v>
      </c>
      <c r="M247" s="33">
        <v>7.3</v>
      </c>
      <c r="N247" s="33">
        <v>6.7</v>
      </c>
      <c r="O247" s="33">
        <v>6.7</v>
      </c>
      <c r="P247" s="39">
        <f t="shared" si="17"/>
        <v>6.7000000000000004E-2</v>
      </c>
    </row>
    <row r="248" spans="1:16" x14ac:dyDescent="0.25">
      <c r="A248" s="1">
        <v>1970.01</v>
      </c>
      <c r="B248" s="2" t="s">
        <v>0</v>
      </c>
      <c r="C248" s="3">
        <v>1970.01</v>
      </c>
      <c r="D248" s="4" t="s">
        <v>14</v>
      </c>
      <c r="E248" s="4">
        <v>1000000</v>
      </c>
      <c r="F248" s="5">
        <v>1.0000000000000001E-11</v>
      </c>
      <c r="G248" s="6">
        <v>3.5</v>
      </c>
      <c r="H248" s="28">
        <f>+G248*100</f>
        <v>350</v>
      </c>
      <c r="I248" s="39">
        <f t="shared" si="19"/>
        <v>0</v>
      </c>
      <c r="J248" s="35">
        <v>4.3919999999999999E-10</v>
      </c>
      <c r="K248" s="41">
        <f t="shared" si="18"/>
        <v>8234.2795005437019</v>
      </c>
      <c r="L248" s="42">
        <f t="shared" si="16"/>
        <v>4.2505236794171219</v>
      </c>
      <c r="M248" s="33">
        <v>-4.7</v>
      </c>
      <c r="N248" s="33">
        <v>-4.7</v>
      </c>
      <c r="O248" s="33">
        <v>6.5</v>
      </c>
      <c r="P248" s="39">
        <f t="shared" si="17"/>
        <v>6.5000000000000002E-2</v>
      </c>
    </row>
    <row r="249" spans="1:16" x14ac:dyDescent="0.25">
      <c r="A249" s="7"/>
      <c r="B249" s="2" t="s">
        <v>2</v>
      </c>
      <c r="C249" s="3">
        <v>1970.02</v>
      </c>
      <c r="D249" s="4" t="s">
        <v>14</v>
      </c>
      <c r="E249" s="4">
        <v>1000000</v>
      </c>
      <c r="F249" s="5">
        <v>1.0000000000000001E-11</v>
      </c>
      <c r="G249" s="6">
        <v>3.5</v>
      </c>
      <c r="H249" s="28">
        <f t="shared" ref="H249:H312" si="20">+G249*100</f>
        <v>350</v>
      </c>
      <c r="I249" s="39">
        <f t="shared" si="19"/>
        <v>0</v>
      </c>
      <c r="J249" s="35">
        <v>4.4515000000000001E-10</v>
      </c>
      <c r="K249" s="41">
        <f t="shared" si="18"/>
        <v>8345.8322396790281</v>
      </c>
      <c r="L249" s="42">
        <f t="shared" si="16"/>
        <v>4.1937099853981801</v>
      </c>
      <c r="M249" s="33">
        <v>1.4</v>
      </c>
      <c r="N249" s="33">
        <v>-3.4</v>
      </c>
      <c r="O249" s="33">
        <v>9.5</v>
      </c>
      <c r="P249" s="39">
        <f t="shared" si="17"/>
        <v>9.5000000000000001E-2</v>
      </c>
    </row>
    <row r="250" spans="1:16" x14ac:dyDescent="0.25">
      <c r="A250" s="7"/>
      <c r="B250" s="2" t="s">
        <v>3</v>
      </c>
      <c r="C250" s="3">
        <v>1970.03</v>
      </c>
      <c r="D250" s="4" t="s">
        <v>14</v>
      </c>
      <c r="E250" s="4">
        <v>1000000</v>
      </c>
      <c r="F250" s="5">
        <v>1.0000000000000001E-11</v>
      </c>
      <c r="G250" s="6">
        <v>3.5</v>
      </c>
      <c r="H250" s="28">
        <f t="shared" si="20"/>
        <v>350</v>
      </c>
      <c r="I250" s="39">
        <f t="shared" si="19"/>
        <v>0</v>
      </c>
      <c r="J250" s="35">
        <v>4.5090000000000001E-10</v>
      </c>
      <c r="K250" s="41">
        <f t="shared" si="18"/>
        <v>8453.6353069106462</v>
      </c>
      <c r="L250" s="42">
        <f t="shared" si="16"/>
        <v>4.1402306498114871</v>
      </c>
      <c r="M250" s="33">
        <v>1.3</v>
      </c>
      <c r="N250" s="33">
        <v>-2.2000000000000002</v>
      </c>
      <c r="O250" s="33">
        <v>9.6</v>
      </c>
      <c r="P250" s="39">
        <f t="shared" si="17"/>
        <v>9.6000000000000002E-2</v>
      </c>
    </row>
    <row r="251" spans="1:16" x14ac:dyDescent="0.25">
      <c r="A251" s="7"/>
      <c r="B251" s="2" t="s">
        <v>4</v>
      </c>
      <c r="C251" s="3">
        <v>1970.04</v>
      </c>
      <c r="D251" s="4" t="s">
        <v>14</v>
      </c>
      <c r="E251" s="4">
        <v>1000000</v>
      </c>
      <c r="F251" s="5">
        <v>1.0000000000000001E-11</v>
      </c>
      <c r="G251" s="6">
        <v>3.5</v>
      </c>
      <c r="H251" s="28">
        <f t="shared" si="20"/>
        <v>350</v>
      </c>
      <c r="I251" s="39">
        <f t="shared" si="19"/>
        <v>0</v>
      </c>
      <c r="J251" s="35">
        <v>4.5436000000000002E-10</v>
      </c>
      <c r="K251" s="41">
        <f t="shared" si="18"/>
        <v>8518.5046308448018</v>
      </c>
      <c r="L251" s="42">
        <f t="shared" si="16"/>
        <v>4.1087023505590281</v>
      </c>
      <c r="M251" s="33">
        <v>0.8</v>
      </c>
      <c r="N251" s="33">
        <v>-1.4</v>
      </c>
      <c r="O251" s="33">
        <v>10.4</v>
      </c>
      <c r="P251" s="39">
        <f t="shared" si="17"/>
        <v>0.10400000000000001</v>
      </c>
    </row>
    <row r="252" spans="1:16" x14ac:dyDescent="0.25">
      <c r="A252" s="7"/>
      <c r="B252" s="2" t="s">
        <v>5</v>
      </c>
      <c r="C252" s="3">
        <v>1970.05</v>
      </c>
      <c r="D252" s="4" t="s">
        <v>14</v>
      </c>
      <c r="E252" s="4">
        <v>1000000</v>
      </c>
      <c r="F252" s="5">
        <v>1.0000000000000001E-11</v>
      </c>
      <c r="G252" s="6">
        <v>3.5</v>
      </c>
      <c r="H252" s="28">
        <f t="shared" si="20"/>
        <v>350</v>
      </c>
      <c r="I252" s="39">
        <f t="shared" si="19"/>
        <v>0</v>
      </c>
      <c r="J252" s="35">
        <v>4.5772E-10</v>
      </c>
      <c r="K252" s="41">
        <f t="shared" si="18"/>
        <v>8581.4991188271033</v>
      </c>
      <c r="L252" s="42">
        <f t="shared" si="16"/>
        <v>4.0785414663986712</v>
      </c>
      <c r="M252" s="33">
        <v>0.7</v>
      </c>
      <c r="N252" s="33">
        <v>-0.7</v>
      </c>
      <c r="O252" s="33">
        <v>12.7</v>
      </c>
      <c r="P252" s="39">
        <f t="shared" si="17"/>
        <v>0.127</v>
      </c>
    </row>
    <row r="253" spans="1:16" x14ac:dyDescent="0.25">
      <c r="A253" s="7"/>
      <c r="B253" s="2" t="s">
        <v>6</v>
      </c>
      <c r="C253" s="3">
        <v>1970.06</v>
      </c>
      <c r="D253" s="4" t="s">
        <v>14</v>
      </c>
      <c r="E253" s="4">
        <v>1000000</v>
      </c>
      <c r="F253" s="5">
        <v>1.0000000000000001E-11</v>
      </c>
      <c r="G253" s="6">
        <v>4</v>
      </c>
      <c r="H253" s="28">
        <f t="shared" si="20"/>
        <v>400</v>
      </c>
      <c r="I253" s="39">
        <f t="shared" si="19"/>
        <v>0.14285714285714279</v>
      </c>
      <c r="J253" s="35">
        <v>4.6106999999999999E-10</v>
      </c>
      <c r="K253" s="41">
        <f t="shared" si="18"/>
        <v>8644.306123214219</v>
      </c>
      <c r="L253" s="42">
        <f t="shared" si="16"/>
        <v>4.6273233999175831</v>
      </c>
      <c r="M253" s="33">
        <v>0.7</v>
      </c>
      <c r="N253" s="33">
        <v>0</v>
      </c>
      <c r="O253" s="33">
        <v>12.5</v>
      </c>
      <c r="P253" s="39">
        <f t="shared" si="17"/>
        <v>0.125</v>
      </c>
    </row>
    <row r="254" spans="1:16" x14ac:dyDescent="0.25">
      <c r="A254" s="7"/>
      <c r="B254" s="2" t="s">
        <v>7</v>
      </c>
      <c r="C254" s="3">
        <v>1970.07</v>
      </c>
      <c r="D254" s="4" t="s">
        <v>14</v>
      </c>
      <c r="E254" s="4">
        <v>1000000</v>
      </c>
      <c r="F254" s="5">
        <v>1.0000000000000001E-11</v>
      </c>
      <c r="G254" s="6">
        <v>4</v>
      </c>
      <c r="H254" s="28">
        <f t="shared" si="20"/>
        <v>400</v>
      </c>
      <c r="I254" s="39">
        <f t="shared" si="19"/>
        <v>0.14285714285714279</v>
      </c>
      <c r="J254" s="35">
        <v>4.6673999999999998E-10</v>
      </c>
      <c r="K254" s="41">
        <f t="shared" si="18"/>
        <v>8750.6093216843528</v>
      </c>
      <c r="L254" s="42">
        <f t="shared" si="16"/>
        <v>4.5711102541029263</v>
      </c>
      <c r="M254" s="33">
        <v>1.2</v>
      </c>
      <c r="N254" s="33">
        <v>1.3</v>
      </c>
      <c r="O254" s="33">
        <v>12.3</v>
      </c>
      <c r="P254" s="39">
        <f t="shared" si="17"/>
        <v>0.12300000000000001</v>
      </c>
    </row>
    <row r="255" spans="1:16" x14ac:dyDescent="0.25">
      <c r="A255" s="7"/>
      <c r="B255" s="2" t="s">
        <v>8</v>
      </c>
      <c r="C255" s="3">
        <v>1970.08</v>
      </c>
      <c r="D255" s="4" t="s">
        <v>14</v>
      </c>
      <c r="E255" s="4">
        <v>1000000</v>
      </c>
      <c r="F255" s="5">
        <v>1.0000000000000001E-11</v>
      </c>
      <c r="G255" s="6">
        <v>4</v>
      </c>
      <c r="H255" s="28">
        <f t="shared" si="20"/>
        <v>400</v>
      </c>
      <c r="I255" s="39">
        <f t="shared" si="19"/>
        <v>0.14285714285714279</v>
      </c>
      <c r="J255" s="35">
        <v>4.7201000000000001E-10</v>
      </c>
      <c r="K255" s="41">
        <f t="shared" si="18"/>
        <v>8849.4131763470705</v>
      </c>
      <c r="L255" s="42">
        <f t="shared" si="16"/>
        <v>4.5200737272515408</v>
      </c>
      <c r="M255" s="33">
        <v>1.1000000000000001</v>
      </c>
      <c r="N255" s="33">
        <v>2.4</v>
      </c>
      <c r="O255" s="33">
        <v>14.5</v>
      </c>
      <c r="P255" s="39">
        <f t="shared" si="17"/>
        <v>0.14499999999999999</v>
      </c>
    </row>
    <row r="256" spans="1:16" x14ac:dyDescent="0.25">
      <c r="A256" s="7"/>
      <c r="B256" s="2" t="s">
        <v>9</v>
      </c>
      <c r="C256" s="3">
        <v>1970.09</v>
      </c>
      <c r="D256" s="4" t="s">
        <v>14</v>
      </c>
      <c r="E256" s="4">
        <v>1000000</v>
      </c>
      <c r="F256" s="5">
        <v>1.0000000000000001E-11</v>
      </c>
      <c r="G256" s="6">
        <v>4</v>
      </c>
      <c r="H256" s="28">
        <f t="shared" si="20"/>
        <v>400</v>
      </c>
      <c r="I256" s="39">
        <f t="shared" si="19"/>
        <v>0.14285714285714279</v>
      </c>
      <c r="J256" s="35">
        <v>4.8163000000000002E-10</v>
      </c>
      <c r="K256" s="41">
        <f t="shared" si="18"/>
        <v>9029.7723949154461</v>
      </c>
      <c r="L256" s="42">
        <f t="shared" si="16"/>
        <v>4.4297905030832796</v>
      </c>
      <c r="M256" s="33">
        <v>2</v>
      </c>
      <c r="N256" s="33">
        <v>4.5</v>
      </c>
      <c r="O256" s="33">
        <v>14.7</v>
      </c>
      <c r="P256" s="39">
        <f t="shared" si="17"/>
        <v>0.14699999999999999</v>
      </c>
    </row>
    <row r="257" spans="1:16" x14ac:dyDescent="0.25">
      <c r="A257" s="7"/>
      <c r="B257" s="2" t="s">
        <v>10</v>
      </c>
      <c r="C257" s="3">
        <v>1970.1</v>
      </c>
      <c r="D257" s="4" t="s">
        <v>14</v>
      </c>
      <c r="E257" s="4">
        <v>1000000</v>
      </c>
      <c r="F257" s="5">
        <v>1.0000000000000001E-11</v>
      </c>
      <c r="G257" s="6">
        <v>4</v>
      </c>
      <c r="H257" s="28">
        <f t="shared" si="20"/>
        <v>400</v>
      </c>
      <c r="I257" s="39">
        <f t="shared" si="19"/>
        <v>0.14285714285714279</v>
      </c>
      <c r="J257" s="35">
        <v>5.0072999999999999E-10</v>
      </c>
      <c r="K257" s="41">
        <f t="shared" si="18"/>
        <v>9387.8660617196001</v>
      </c>
      <c r="L257" s="42">
        <f t="shared" si="16"/>
        <v>4.2608192039622148</v>
      </c>
      <c r="M257" s="33">
        <v>4</v>
      </c>
      <c r="N257" s="33">
        <v>8.6</v>
      </c>
      <c r="O257" s="33">
        <v>17.399999999999999</v>
      </c>
      <c r="P257" s="39">
        <f t="shared" si="17"/>
        <v>0.17399999999999999</v>
      </c>
    </row>
    <row r="258" spans="1:16" x14ac:dyDescent="0.25">
      <c r="A258" s="7"/>
      <c r="B258" s="2" t="s">
        <v>11</v>
      </c>
      <c r="C258" s="3">
        <v>1970.11</v>
      </c>
      <c r="D258" s="4" t="s">
        <v>14</v>
      </c>
      <c r="E258" s="4">
        <v>1000000</v>
      </c>
      <c r="F258" s="5">
        <v>1.0000000000000001E-11</v>
      </c>
      <c r="G258" s="6">
        <v>4</v>
      </c>
      <c r="H258" s="28">
        <f t="shared" si="20"/>
        <v>400</v>
      </c>
      <c r="I258" s="39">
        <f t="shared" si="19"/>
        <v>0.14285714285714279</v>
      </c>
      <c r="J258" s="35">
        <v>5.1367000000000005E-10</v>
      </c>
      <c r="K258" s="41">
        <f t="shared" si="18"/>
        <v>9630.4698338895359</v>
      </c>
      <c r="L258" s="42">
        <f t="shared" si="16"/>
        <v>4.1534837541612317</v>
      </c>
      <c r="M258" s="33">
        <v>2.6</v>
      </c>
      <c r="N258" s="33">
        <v>11.4</v>
      </c>
      <c r="O258" s="33">
        <v>19.600000000000001</v>
      </c>
      <c r="P258" s="39">
        <f t="shared" si="17"/>
        <v>0.19600000000000001</v>
      </c>
    </row>
    <row r="259" spans="1:16" x14ac:dyDescent="0.25">
      <c r="A259" s="7"/>
      <c r="B259" s="2" t="s">
        <v>12</v>
      </c>
      <c r="C259" s="3">
        <v>1970.12</v>
      </c>
      <c r="D259" s="4" t="s">
        <v>14</v>
      </c>
      <c r="E259" s="4">
        <v>1000000</v>
      </c>
      <c r="F259" s="5">
        <v>1.0000000000000001E-11</v>
      </c>
      <c r="G259" s="6">
        <v>4</v>
      </c>
      <c r="H259" s="28">
        <f t="shared" si="20"/>
        <v>400</v>
      </c>
      <c r="I259" s="39">
        <f t="shared" si="19"/>
        <v>0.14285714285714279</v>
      </c>
      <c r="J259" s="35">
        <v>5.6114999999999997E-10</v>
      </c>
      <c r="K259" s="41">
        <f t="shared" si="18"/>
        <v>10520.641943829914</v>
      </c>
      <c r="L259" s="42">
        <f t="shared" si="16"/>
        <v>3.8020493629154419</v>
      </c>
      <c r="M259" s="33">
        <v>9.1999999999999993</v>
      </c>
      <c r="N259" s="33">
        <v>21.7</v>
      </c>
      <c r="O259" s="33">
        <v>21.7</v>
      </c>
      <c r="P259" s="39">
        <f t="shared" si="17"/>
        <v>0.217</v>
      </c>
    </row>
    <row r="260" spans="1:16" x14ac:dyDescent="0.25">
      <c r="A260" s="1">
        <v>1971.01</v>
      </c>
      <c r="B260" s="2" t="s">
        <v>13</v>
      </c>
      <c r="C260" s="3">
        <v>1971.01</v>
      </c>
      <c r="D260" s="4" t="s">
        <v>14</v>
      </c>
      <c r="E260" s="4">
        <v>1000000</v>
      </c>
      <c r="F260" s="5">
        <v>1.0000000000000001E-11</v>
      </c>
      <c r="G260" s="6">
        <v>4</v>
      </c>
      <c r="H260" s="28">
        <f t="shared" si="20"/>
        <v>400</v>
      </c>
      <c r="I260" s="39">
        <f t="shared" si="19"/>
        <v>0.14285714285714279</v>
      </c>
      <c r="J260" s="35">
        <v>5.5955999999999998E-10</v>
      </c>
      <c r="K260" s="41">
        <f t="shared" si="18"/>
        <v>10490.832052195432</v>
      </c>
      <c r="L260" s="42">
        <f t="shared" si="16"/>
        <v>3.8128529558939168</v>
      </c>
      <c r="M260" s="33">
        <v>-0.3</v>
      </c>
      <c r="N260" s="33">
        <v>-0.3</v>
      </c>
      <c r="O260" s="33">
        <v>27.4</v>
      </c>
      <c r="P260" s="39">
        <f t="shared" si="17"/>
        <v>0.27399999999999997</v>
      </c>
    </row>
    <row r="261" spans="1:16" x14ac:dyDescent="0.25">
      <c r="A261" s="7"/>
      <c r="B261" s="2" t="s">
        <v>2</v>
      </c>
      <c r="C261" s="3">
        <v>1971.02</v>
      </c>
      <c r="D261" s="4" t="s">
        <v>14</v>
      </c>
      <c r="E261" s="4">
        <v>1000000</v>
      </c>
      <c r="F261" s="5">
        <v>1.0000000000000001E-11</v>
      </c>
      <c r="G261" s="6">
        <v>4</v>
      </c>
      <c r="H261" s="28">
        <f t="shared" si="20"/>
        <v>400</v>
      </c>
      <c r="I261" s="39">
        <f t="shared" si="19"/>
        <v>0.14285714285714279</v>
      </c>
      <c r="J261" s="35">
        <v>5.7823999999999996E-10</v>
      </c>
      <c r="K261" s="41">
        <f t="shared" si="18"/>
        <v>10841.0514080018</v>
      </c>
      <c r="L261" s="42">
        <f t="shared" si="16"/>
        <v>3.6896790260099612</v>
      </c>
      <c r="M261" s="33">
        <v>3.3</v>
      </c>
      <c r="N261" s="33">
        <v>3</v>
      </c>
      <c r="O261" s="33">
        <v>29.9</v>
      </c>
      <c r="P261" s="39">
        <f t="shared" si="17"/>
        <v>0.29899999999999999</v>
      </c>
    </row>
    <row r="262" spans="1:16" x14ac:dyDescent="0.25">
      <c r="A262" s="7"/>
      <c r="B262" s="2" t="s">
        <v>3</v>
      </c>
      <c r="C262" s="3">
        <v>1971.03</v>
      </c>
      <c r="D262" s="4" t="s">
        <v>14</v>
      </c>
      <c r="E262" s="4">
        <v>1000000</v>
      </c>
      <c r="F262" s="5">
        <v>1.0000000000000001E-11</v>
      </c>
      <c r="G262" s="6">
        <v>4</v>
      </c>
      <c r="H262" s="28">
        <f t="shared" si="20"/>
        <v>400</v>
      </c>
      <c r="I262" s="39">
        <f t="shared" si="19"/>
        <v>0.14285714285714279</v>
      </c>
      <c r="J262" s="35">
        <v>5.8432999999999999E-10</v>
      </c>
      <c r="K262" s="41">
        <f t="shared" si="18"/>
        <v>10955.228917469722</v>
      </c>
      <c r="L262" s="42">
        <f t="shared" si="16"/>
        <v>3.6512244793181936</v>
      </c>
      <c r="M262" s="33">
        <v>1.1000000000000001</v>
      </c>
      <c r="N262" s="33">
        <v>4.0999999999999996</v>
      </c>
      <c r="O262" s="33">
        <v>29.6</v>
      </c>
      <c r="P262" s="39">
        <f t="shared" si="17"/>
        <v>0.29600000000000004</v>
      </c>
    </row>
    <row r="263" spans="1:16" x14ac:dyDescent="0.25">
      <c r="A263" s="7"/>
      <c r="B263" s="2" t="s">
        <v>4</v>
      </c>
      <c r="C263" s="3">
        <v>1971.04</v>
      </c>
      <c r="D263" s="4" t="s">
        <v>14</v>
      </c>
      <c r="E263" s="4">
        <v>1000000</v>
      </c>
      <c r="F263" s="5">
        <v>1.0000000000000001E-11</v>
      </c>
      <c r="G263" s="6">
        <v>4.04</v>
      </c>
      <c r="H263" s="28">
        <f t="shared" si="20"/>
        <v>404</v>
      </c>
      <c r="I263" s="39">
        <f t="shared" si="19"/>
        <v>0.15428571428571436</v>
      </c>
      <c r="J263" s="35">
        <v>5.8959000000000003E-10</v>
      </c>
      <c r="K263" s="41">
        <f t="shared" si="18"/>
        <v>11053.845288537255</v>
      </c>
      <c r="L263" s="42">
        <f t="shared" si="16"/>
        <v>3.6548367509625326</v>
      </c>
      <c r="M263" s="33">
        <v>0.9</v>
      </c>
      <c r="N263" s="33">
        <v>5.0999999999999996</v>
      </c>
      <c r="O263" s="33">
        <v>29.8</v>
      </c>
      <c r="P263" s="39">
        <f t="shared" si="17"/>
        <v>0.29799999999999999</v>
      </c>
    </row>
    <row r="264" spans="1:16" x14ac:dyDescent="0.25">
      <c r="A264" s="7"/>
      <c r="B264" s="2" t="s">
        <v>5</v>
      </c>
      <c r="C264" s="3">
        <v>1971.05</v>
      </c>
      <c r="D264" s="4" t="s">
        <v>14</v>
      </c>
      <c r="E264" s="4">
        <v>1000000</v>
      </c>
      <c r="F264" s="5">
        <v>1.0000000000000001E-11</v>
      </c>
      <c r="G264" s="6">
        <v>4.12</v>
      </c>
      <c r="H264" s="28">
        <f t="shared" si="20"/>
        <v>412</v>
      </c>
      <c r="I264" s="39">
        <f t="shared" si="19"/>
        <v>0.17714285714285705</v>
      </c>
      <c r="J264" s="35">
        <v>6.0392000000000002E-10</v>
      </c>
      <c r="K264" s="41">
        <f t="shared" si="18"/>
        <v>11322.509280437962</v>
      </c>
      <c r="L264" s="42">
        <f t="shared" si="16"/>
        <v>3.6387693734269435</v>
      </c>
      <c r="M264" s="33">
        <v>2.4</v>
      </c>
      <c r="N264" s="33">
        <v>7.6</v>
      </c>
      <c r="O264" s="33">
        <v>31.9</v>
      </c>
      <c r="P264" s="39">
        <f t="shared" si="17"/>
        <v>0.31900000000000001</v>
      </c>
    </row>
    <row r="265" spans="1:16" x14ac:dyDescent="0.25">
      <c r="A265" s="7"/>
      <c r="B265" s="2" t="s">
        <v>6</v>
      </c>
      <c r="C265" s="3">
        <v>1971.06</v>
      </c>
      <c r="D265" s="4" t="s">
        <v>14</v>
      </c>
      <c r="E265" s="4">
        <v>1000000</v>
      </c>
      <c r="F265" s="5">
        <v>1.0000000000000001E-11</v>
      </c>
      <c r="G265" s="6">
        <v>4.4000000000000004</v>
      </c>
      <c r="H265" s="28">
        <f t="shared" si="20"/>
        <v>440.00000000000006</v>
      </c>
      <c r="I265" s="39">
        <f t="shared" si="19"/>
        <v>0.10000000000000009</v>
      </c>
      <c r="J265" s="35">
        <v>6.2273999999999996E-10</v>
      </c>
      <c r="K265" s="41">
        <f t="shared" si="18"/>
        <v>11675.353406576924</v>
      </c>
      <c r="L265" s="42">
        <f t="shared" ref="L265:L319" si="21">+H265/K265*100</f>
        <v>3.7686225391013912</v>
      </c>
      <c r="M265" s="33">
        <v>3.1</v>
      </c>
      <c r="N265" s="33">
        <v>11</v>
      </c>
      <c r="O265" s="33">
        <v>35.1</v>
      </c>
      <c r="P265" s="39">
        <f t="shared" ref="P265:P319" si="22">+O265/100</f>
        <v>0.35100000000000003</v>
      </c>
    </row>
    <row r="266" spans="1:16" x14ac:dyDescent="0.25">
      <c r="A266" s="7"/>
      <c r="B266" s="2" t="s">
        <v>7</v>
      </c>
      <c r="C266" s="3">
        <v>1971.07</v>
      </c>
      <c r="D266" s="4" t="s">
        <v>14</v>
      </c>
      <c r="E266" s="4">
        <v>1000000</v>
      </c>
      <c r="F266" s="5">
        <v>1.0000000000000001E-11</v>
      </c>
      <c r="G266" s="6">
        <v>4.7</v>
      </c>
      <c r="H266" s="28">
        <f t="shared" si="20"/>
        <v>470</v>
      </c>
      <c r="I266" s="39">
        <f t="shared" si="19"/>
        <v>0.17500000000000004</v>
      </c>
      <c r="J266" s="35">
        <v>6.4953000000000003E-10</v>
      </c>
      <c r="K266" s="41">
        <f t="shared" ref="K266:K319" si="23">+J266*$K$8/$J$8</f>
        <v>12177.621958078669</v>
      </c>
      <c r="L266" s="42">
        <f t="shared" si="21"/>
        <v>3.8595384354841187</v>
      </c>
      <c r="M266" s="33">
        <v>4.3</v>
      </c>
      <c r="N266" s="33">
        <v>15.7</v>
      </c>
      <c r="O266" s="33">
        <v>39.200000000000003</v>
      </c>
      <c r="P266" s="39">
        <f t="shared" si="22"/>
        <v>0.39200000000000002</v>
      </c>
    </row>
    <row r="267" spans="1:16" x14ac:dyDescent="0.25">
      <c r="A267" s="7"/>
      <c r="B267" s="2" t="s">
        <v>8</v>
      </c>
      <c r="C267" s="3">
        <v>1971.08</v>
      </c>
      <c r="D267" s="4" t="s">
        <v>14</v>
      </c>
      <c r="E267" s="4">
        <v>1000000</v>
      </c>
      <c r="F267" s="5">
        <v>1.0000000000000001E-11</v>
      </c>
      <c r="G267" s="6">
        <v>5</v>
      </c>
      <c r="H267" s="28">
        <f t="shared" si="20"/>
        <v>500</v>
      </c>
      <c r="I267" s="39">
        <f t="shared" si="19"/>
        <v>0.25</v>
      </c>
      <c r="J267" s="35">
        <v>6.6655000000000004E-10</v>
      </c>
      <c r="K267" s="41">
        <f t="shared" si="23"/>
        <v>12496.719037084258</v>
      </c>
      <c r="L267" s="42">
        <f t="shared" si="21"/>
        <v>4.0010501837821604</v>
      </c>
      <c r="M267" s="33">
        <v>2.6</v>
      </c>
      <c r="N267" s="33">
        <v>18.8</v>
      </c>
      <c r="O267" s="33">
        <v>41.2</v>
      </c>
      <c r="P267" s="39">
        <f t="shared" si="22"/>
        <v>0.41200000000000003</v>
      </c>
    </row>
    <row r="268" spans="1:16" x14ac:dyDescent="0.25">
      <c r="A268" s="7"/>
      <c r="B268" s="2" t="s">
        <v>9</v>
      </c>
      <c r="C268" s="3">
        <v>1971.09</v>
      </c>
      <c r="D268" s="4" t="s">
        <v>14</v>
      </c>
      <c r="E268" s="4">
        <v>1000000</v>
      </c>
      <c r="F268" s="5">
        <v>1.0000000000000001E-11</v>
      </c>
      <c r="G268" s="6">
        <v>6.7</v>
      </c>
      <c r="H268" s="28">
        <f t="shared" si="20"/>
        <v>670</v>
      </c>
      <c r="I268" s="39">
        <f t="shared" si="19"/>
        <v>0.67500000000000004</v>
      </c>
      <c r="J268" s="35">
        <v>6.7256999999999998E-10</v>
      </c>
      <c r="K268" s="41">
        <f t="shared" si="23"/>
        <v>12609.584161385881</v>
      </c>
      <c r="L268" s="42">
        <f t="shared" si="21"/>
        <v>5.3134186776097643</v>
      </c>
      <c r="M268" s="33">
        <v>0.9</v>
      </c>
      <c r="N268" s="33">
        <v>19.899999999999999</v>
      </c>
      <c r="O268" s="33">
        <v>39.6</v>
      </c>
      <c r="P268" s="39">
        <f t="shared" si="22"/>
        <v>0.39600000000000002</v>
      </c>
    </row>
    <row r="269" spans="1:16" x14ac:dyDescent="0.25">
      <c r="A269" s="7"/>
      <c r="B269" s="2" t="s">
        <v>10</v>
      </c>
      <c r="C269" s="3">
        <v>1971.1</v>
      </c>
      <c r="D269" s="4" t="s">
        <v>14</v>
      </c>
      <c r="E269" s="4">
        <v>1000000</v>
      </c>
      <c r="F269" s="5">
        <v>1.0000000000000001E-11</v>
      </c>
      <c r="G269" s="6">
        <v>7.7</v>
      </c>
      <c r="H269" s="28">
        <f t="shared" si="20"/>
        <v>770</v>
      </c>
      <c r="I269" s="39">
        <f t="shared" si="19"/>
        <v>0.92500000000000004</v>
      </c>
      <c r="J269" s="35">
        <v>6.7949E-10</v>
      </c>
      <c r="K269" s="41">
        <f t="shared" si="23"/>
        <v>12739.32280925419</v>
      </c>
      <c r="L269" s="42">
        <f t="shared" si="21"/>
        <v>6.0442773256412892</v>
      </c>
      <c r="M269" s="33">
        <v>1</v>
      </c>
      <c r="N269" s="33">
        <v>21.1</v>
      </c>
      <c r="O269" s="33">
        <v>35.700000000000003</v>
      </c>
      <c r="P269" s="39">
        <f t="shared" si="22"/>
        <v>0.35700000000000004</v>
      </c>
    </row>
    <row r="270" spans="1:16" x14ac:dyDescent="0.25">
      <c r="A270" s="7"/>
      <c r="B270" s="2" t="s">
        <v>11</v>
      </c>
      <c r="C270" s="3">
        <v>1971.11</v>
      </c>
      <c r="D270" s="4" t="s">
        <v>14</v>
      </c>
      <c r="E270" s="4">
        <v>1000000</v>
      </c>
      <c r="F270" s="5">
        <v>1.0000000000000001E-11</v>
      </c>
      <c r="G270" s="6">
        <v>8.1</v>
      </c>
      <c r="H270" s="28">
        <f t="shared" si="20"/>
        <v>810</v>
      </c>
      <c r="I270" s="39">
        <f t="shared" si="19"/>
        <v>1.0249999999999999</v>
      </c>
      <c r="J270" s="35">
        <v>6.9784000000000004E-10</v>
      </c>
      <c r="K270" s="41">
        <f t="shared" si="23"/>
        <v>13083.355206419439</v>
      </c>
      <c r="L270" s="42">
        <f t="shared" si="21"/>
        <v>6.1910724521380249</v>
      </c>
      <c r="M270" s="33">
        <v>2.7</v>
      </c>
      <c r="N270" s="33">
        <v>24.4</v>
      </c>
      <c r="O270" s="33">
        <v>35.9</v>
      </c>
      <c r="P270" s="39">
        <f t="shared" si="22"/>
        <v>0.35899999999999999</v>
      </c>
    </row>
    <row r="271" spans="1:16" x14ac:dyDescent="0.25">
      <c r="A271" s="7"/>
      <c r="B271" s="2" t="s">
        <v>12</v>
      </c>
      <c r="C271" s="3">
        <v>1971.12</v>
      </c>
      <c r="D271" s="4" t="s">
        <v>14</v>
      </c>
      <c r="E271" s="4">
        <v>1000000</v>
      </c>
      <c r="F271" s="5">
        <v>1.0000000000000001E-11</v>
      </c>
      <c r="G271" s="6">
        <v>8.25</v>
      </c>
      <c r="H271" s="28">
        <f t="shared" si="20"/>
        <v>825</v>
      </c>
      <c r="I271" s="39">
        <f t="shared" si="19"/>
        <v>1.0625</v>
      </c>
      <c r="J271" s="35">
        <v>7.8068000000000004E-10</v>
      </c>
      <c r="K271" s="41">
        <f t="shared" si="23"/>
        <v>14636.46930893547</v>
      </c>
      <c r="L271" s="42">
        <f t="shared" si="21"/>
        <v>5.6366052672029507</v>
      </c>
      <c r="M271" s="33">
        <v>11.9</v>
      </c>
      <c r="N271" s="33">
        <v>39.1</v>
      </c>
      <c r="O271" s="33">
        <v>39.1</v>
      </c>
      <c r="P271" s="39">
        <f t="shared" si="22"/>
        <v>0.39100000000000001</v>
      </c>
    </row>
    <row r="272" spans="1:16" x14ac:dyDescent="0.25">
      <c r="A272" s="1">
        <v>1972.01</v>
      </c>
      <c r="B272" s="2" t="s">
        <v>13</v>
      </c>
      <c r="C272" s="3">
        <v>1972.01</v>
      </c>
      <c r="D272" s="4" t="s">
        <v>14</v>
      </c>
      <c r="E272" s="4">
        <v>1000000</v>
      </c>
      <c r="F272" s="5">
        <v>1.0000000000000001E-11</v>
      </c>
      <c r="G272" s="6">
        <v>9.6</v>
      </c>
      <c r="H272" s="28">
        <f t="shared" si="20"/>
        <v>960</v>
      </c>
      <c r="I272" s="39">
        <f t="shared" si="19"/>
        <v>1.4</v>
      </c>
      <c r="J272" s="35">
        <v>8.2137000000000003E-10</v>
      </c>
      <c r="K272" s="41">
        <f t="shared" si="23"/>
        <v>15399.340057744948</v>
      </c>
      <c r="L272" s="42">
        <f t="shared" si="21"/>
        <v>6.2340333832499359</v>
      </c>
      <c r="M272" s="33">
        <v>5.2</v>
      </c>
      <c r="N272" s="33">
        <v>5.2</v>
      </c>
      <c r="O272" s="33">
        <v>46.8</v>
      </c>
      <c r="P272" s="39">
        <f t="shared" si="22"/>
        <v>0.46799999999999997</v>
      </c>
    </row>
    <row r="273" spans="1:16" x14ac:dyDescent="0.25">
      <c r="A273" s="7"/>
      <c r="B273" s="2" t="s">
        <v>2</v>
      </c>
      <c r="C273" s="3">
        <v>1972.02</v>
      </c>
      <c r="D273" s="4" t="s">
        <v>14</v>
      </c>
      <c r="E273" s="4">
        <v>1000000</v>
      </c>
      <c r="F273" s="5">
        <v>1.0000000000000001E-11</v>
      </c>
      <c r="G273" s="6">
        <v>9.68</v>
      </c>
      <c r="H273" s="28">
        <f t="shared" si="20"/>
        <v>968</v>
      </c>
      <c r="I273" s="39">
        <f t="shared" si="19"/>
        <v>1.42</v>
      </c>
      <c r="J273" s="35">
        <v>8.5104999999999997E-10</v>
      </c>
      <c r="K273" s="41">
        <f t="shared" si="23"/>
        <v>15955.791368255277</v>
      </c>
      <c r="L273" s="42">
        <f t="shared" si="21"/>
        <v>6.0667627048939545</v>
      </c>
      <c r="M273" s="33">
        <v>3.6</v>
      </c>
      <c r="N273" s="33">
        <v>9</v>
      </c>
      <c r="O273" s="33">
        <v>47.2</v>
      </c>
      <c r="P273" s="39">
        <f t="shared" si="22"/>
        <v>0.47200000000000003</v>
      </c>
    </row>
    <row r="274" spans="1:16" x14ac:dyDescent="0.25">
      <c r="A274" s="7"/>
      <c r="B274" s="2" t="s">
        <v>3</v>
      </c>
      <c r="C274" s="3">
        <v>1972.03</v>
      </c>
      <c r="D274" s="4" t="s">
        <v>14</v>
      </c>
      <c r="E274" s="4">
        <v>1000000</v>
      </c>
      <c r="F274" s="5">
        <v>1.0000000000000001E-11</v>
      </c>
      <c r="G274" s="6">
        <v>9.75</v>
      </c>
      <c r="H274" s="28">
        <f t="shared" si="20"/>
        <v>975</v>
      </c>
      <c r="I274" s="39">
        <f t="shared" si="19"/>
        <v>1.4375</v>
      </c>
      <c r="J274" s="35">
        <v>8.8704999999999995E-10</v>
      </c>
      <c r="K274" s="41">
        <f t="shared" si="23"/>
        <v>16630.732310922795</v>
      </c>
      <c r="L274" s="42">
        <f t="shared" si="21"/>
        <v>5.862640211938448</v>
      </c>
      <c r="M274" s="33">
        <v>4.2</v>
      </c>
      <c r="N274" s="33">
        <v>13.6</v>
      </c>
      <c r="O274" s="33">
        <v>51.8</v>
      </c>
      <c r="P274" s="39">
        <f t="shared" si="22"/>
        <v>0.51800000000000002</v>
      </c>
    </row>
    <row r="275" spans="1:16" x14ac:dyDescent="0.25">
      <c r="A275" s="7"/>
      <c r="B275" s="2" t="s">
        <v>4</v>
      </c>
      <c r="C275" s="3">
        <v>1972.04</v>
      </c>
      <c r="D275" s="4" t="s">
        <v>14</v>
      </c>
      <c r="E275" s="4">
        <v>1000000</v>
      </c>
      <c r="F275" s="5">
        <v>1.0000000000000001E-11</v>
      </c>
      <c r="G275" s="6">
        <v>9.8699999999999992</v>
      </c>
      <c r="H275" s="28">
        <f t="shared" si="20"/>
        <v>986.99999999999989</v>
      </c>
      <c r="I275" s="39">
        <f t="shared" si="19"/>
        <v>1.4430693069306928</v>
      </c>
      <c r="J275" s="35">
        <v>9.3030999999999996E-10</v>
      </c>
      <c r="K275" s="41">
        <f t="shared" si="23"/>
        <v>17441.786343694926</v>
      </c>
      <c r="L275" s="42">
        <f t="shared" si="21"/>
        <v>5.6588240478980119</v>
      </c>
      <c r="M275" s="33">
        <v>4.9000000000000004</v>
      </c>
      <c r="N275" s="33">
        <v>19.2</v>
      </c>
      <c r="O275" s="33">
        <v>57.8</v>
      </c>
      <c r="P275" s="39">
        <f t="shared" si="22"/>
        <v>0.57799999999999996</v>
      </c>
    </row>
    <row r="276" spans="1:16" x14ac:dyDescent="0.25">
      <c r="A276" s="7"/>
      <c r="B276" s="2" t="s">
        <v>5</v>
      </c>
      <c r="C276" s="3">
        <v>1972.05</v>
      </c>
      <c r="D276" s="4" t="s">
        <v>14</v>
      </c>
      <c r="E276" s="4">
        <v>1000000</v>
      </c>
      <c r="F276" s="5">
        <v>1.0000000000000001E-11</v>
      </c>
      <c r="G276" s="6">
        <v>9.9</v>
      </c>
      <c r="H276" s="28">
        <f t="shared" si="20"/>
        <v>990</v>
      </c>
      <c r="I276" s="39">
        <f t="shared" si="19"/>
        <v>1.4029126213592233</v>
      </c>
      <c r="J276" s="35">
        <v>9.452599999999999E-10</v>
      </c>
      <c r="K276" s="41">
        <f t="shared" si="23"/>
        <v>17722.074318497132</v>
      </c>
      <c r="L276" s="42">
        <f t="shared" si="21"/>
        <v>5.5862535175507269</v>
      </c>
      <c r="M276" s="33">
        <v>1.6</v>
      </c>
      <c r="N276" s="33">
        <v>21.1</v>
      </c>
      <c r="O276" s="33">
        <v>56.5</v>
      </c>
      <c r="P276" s="39">
        <f t="shared" si="22"/>
        <v>0.56499999999999995</v>
      </c>
    </row>
    <row r="277" spans="1:16" x14ac:dyDescent="0.25">
      <c r="A277" s="7"/>
      <c r="B277" s="2" t="s">
        <v>6</v>
      </c>
      <c r="C277" s="3">
        <v>1972.06</v>
      </c>
      <c r="D277" s="4" t="s">
        <v>14</v>
      </c>
      <c r="E277" s="4">
        <v>1000000</v>
      </c>
      <c r="F277" s="5">
        <v>1.0000000000000001E-11</v>
      </c>
      <c r="G277" s="6">
        <v>9.9499999999999993</v>
      </c>
      <c r="H277" s="28">
        <f t="shared" si="20"/>
        <v>994.99999999999989</v>
      </c>
      <c r="I277" s="39">
        <f t="shared" ref="I277:I319" si="24">+H277/H265-1</f>
        <v>1.2613636363636358</v>
      </c>
      <c r="J277" s="35">
        <v>9.9723000000000008E-10</v>
      </c>
      <c r="K277" s="41">
        <f t="shared" si="23"/>
        <v>18696.42656267577</v>
      </c>
      <c r="L277" s="42">
        <f t="shared" si="21"/>
        <v>5.3218725870661716</v>
      </c>
      <c r="M277" s="33">
        <v>5.5</v>
      </c>
      <c r="N277" s="33">
        <v>27.7</v>
      </c>
      <c r="O277" s="33">
        <v>60.1</v>
      </c>
      <c r="P277" s="39">
        <f t="shared" si="22"/>
        <v>0.60099999999999998</v>
      </c>
    </row>
    <row r="278" spans="1:16" x14ac:dyDescent="0.25">
      <c r="A278" s="7"/>
      <c r="B278" s="2" t="s">
        <v>7</v>
      </c>
      <c r="C278" s="3">
        <v>1972.07</v>
      </c>
      <c r="D278" s="4" t="s">
        <v>14</v>
      </c>
      <c r="E278" s="4">
        <v>1000000</v>
      </c>
      <c r="F278" s="5">
        <v>1.0000000000000001E-11</v>
      </c>
      <c r="G278" s="6">
        <v>9.9499999999999993</v>
      </c>
      <c r="H278" s="28">
        <f t="shared" si="20"/>
        <v>994.99999999999989</v>
      </c>
      <c r="I278" s="39">
        <f t="shared" si="24"/>
        <v>1.1170212765957444</v>
      </c>
      <c r="J278" s="35">
        <v>1.0467200000000001E-9</v>
      </c>
      <c r="K278" s="41">
        <f t="shared" si="23"/>
        <v>19624.28287524842</v>
      </c>
      <c r="L278" s="42">
        <f t="shared" si="21"/>
        <v>5.0702489682054406</v>
      </c>
      <c r="M278" s="33">
        <v>5</v>
      </c>
      <c r="N278" s="33">
        <v>34.1</v>
      </c>
      <c r="O278" s="33">
        <v>61.2</v>
      </c>
      <c r="P278" s="39">
        <f t="shared" si="22"/>
        <v>0.61199999999999999</v>
      </c>
    </row>
    <row r="279" spans="1:16" x14ac:dyDescent="0.25">
      <c r="A279" s="7"/>
      <c r="B279" s="2" t="s">
        <v>8</v>
      </c>
      <c r="C279" s="3">
        <v>1972.08</v>
      </c>
      <c r="D279" s="4" t="s">
        <v>14</v>
      </c>
      <c r="E279" s="4">
        <v>1000000</v>
      </c>
      <c r="F279" s="5">
        <v>1.0000000000000001E-11</v>
      </c>
      <c r="G279" s="6">
        <v>9.98</v>
      </c>
      <c r="H279" s="28">
        <f t="shared" si="20"/>
        <v>998</v>
      </c>
      <c r="I279" s="39">
        <f t="shared" si="24"/>
        <v>0.996</v>
      </c>
      <c r="J279" s="35">
        <v>1.0453999999999999E-9</v>
      </c>
      <c r="K279" s="41">
        <f t="shared" si="23"/>
        <v>19599.535040683939</v>
      </c>
      <c r="L279" s="42">
        <f t="shared" si="21"/>
        <v>5.091957528218864</v>
      </c>
      <c r="M279" s="33">
        <v>-0.1</v>
      </c>
      <c r="N279" s="33">
        <v>33.9</v>
      </c>
      <c r="O279" s="33">
        <v>56.8</v>
      </c>
      <c r="P279" s="39">
        <f t="shared" si="22"/>
        <v>0.56799999999999995</v>
      </c>
    </row>
    <row r="280" spans="1:16" x14ac:dyDescent="0.25">
      <c r="A280" s="7"/>
      <c r="B280" s="2" t="s">
        <v>9</v>
      </c>
      <c r="C280" s="3">
        <v>1972.09</v>
      </c>
      <c r="D280" s="4" t="s">
        <v>14</v>
      </c>
      <c r="E280" s="4">
        <v>1000000</v>
      </c>
      <c r="F280" s="5">
        <v>1.0000000000000001E-11</v>
      </c>
      <c r="G280" s="6">
        <v>9.98</v>
      </c>
      <c r="H280" s="28">
        <f t="shared" si="20"/>
        <v>998</v>
      </c>
      <c r="I280" s="39">
        <f t="shared" si="24"/>
        <v>0.4895522388059701</v>
      </c>
      <c r="J280" s="35">
        <v>1.07101E-9</v>
      </c>
      <c r="K280" s="41">
        <f t="shared" si="23"/>
        <v>20079.680527953806</v>
      </c>
      <c r="L280" s="42">
        <f t="shared" si="21"/>
        <v>4.9701985975854557</v>
      </c>
      <c r="M280" s="33">
        <v>2.4</v>
      </c>
      <c r="N280" s="33">
        <v>37.200000000000003</v>
      </c>
      <c r="O280" s="33">
        <v>59.2</v>
      </c>
      <c r="P280" s="39">
        <f t="shared" si="22"/>
        <v>0.59200000000000008</v>
      </c>
    </row>
    <row r="281" spans="1:16" x14ac:dyDescent="0.25">
      <c r="A281" s="7"/>
      <c r="B281" s="2" t="s">
        <v>10</v>
      </c>
      <c r="C281" s="3">
        <v>1972.1</v>
      </c>
      <c r="D281" s="4" t="s">
        <v>14</v>
      </c>
      <c r="E281" s="4">
        <v>1000000</v>
      </c>
      <c r="F281" s="5">
        <v>1.0000000000000001E-11</v>
      </c>
      <c r="G281" s="6">
        <v>9.98</v>
      </c>
      <c r="H281" s="28">
        <f t="shared" si="20"/>
        <v>998</v>
      </c>
      <c r="I281" s="39">
        <f t="shared" si="24"/>
        <v>0.2961038961038962</v>
      </c>
      <c r="J281" s="35">
        <v>1.1228499999999999E-9</v>
      </c>
      <c r="K281" s="41">
        <f t="shared" si="23"/>
        <v>21051.595485395028</v>
      </c>
      <c r="L281" s="42">
        <f t="shared" si="21"/>
        <v>4.7407333125528792</v>
      </c>
      <c r="M281" s="33">
        <v>4.8</v>
      </c>
      <c r="N281" s="33">
        <v>43.8</v>
      </c>
      <c r="O281" s="33">
        <v>65.2</v>
      </c>
      <c r="P281" s="39">
        <f t="shared" si="22"/>
        <v>0.65200000000000002</v>
      </c>
    </row>
    <row r="282" spans="1:16" x14ac:dyDescent="0.25">
      <c r="A282" s="7"/>
      <c r="B282" s="2" t="s">
        <v>11</v>
      </c>
      <c r="C282" s="3">
        <v>1972.11</v>
      </c>
      <c r="D282" s="4" t="s">
        <v>14</v>
      </c>
      <c r="E282" s="4">
        <v>1000000</v>
      </c>
      <c r="F282" s="5">
        <v>1.0000000000000001E-11</v>
      </c>
      <c r="G282" s="6">
        <v>9.98</v>
      </c>
      <c r="H282" s="28">
        <f t="shared" si="20"/>
        <v>998</v>
      </c>
      <c r="I282" s="39">
        <f t="shared" si="24"/>
        <v>0.23209876543209873</v>
      </c>
      <c r="J282" s="35">
        <v>1.1775900000000001E-9</v>
      </c>
      <c r="K282" s="41">
        <f t="shared" si="23"/>
        <v>22077.880685440025</v>
      </c>
      <c r="L282" s="42">
        <f t="shared" si="21"/>
        <v>4.5203614161125687</v>
      </c>
      <c r="M282" s="33">
        <v>4.9000000000000004</v>
      </c>
      <c r="N282" s="33">
        <v>50.8</v>
      </c>
      <c r="O282" s="33">
        <v>68.7</v>
      </c>
      <c r="P282" s="39">
        <f t="shared" si="22"/>
        <v>0.68700000000000006</v>
      </c>
    </row>
    <row r="283" spans="1:16" x14ac:dyDescent="0.25">
      <c r="A283" s="7"/>
      <c r="B283" s="2" t="s">
        <v>12</v>
      </c>
      <c r="C283" s="3">
        <v>1972.12</v>
      </c>
      <c r="D283" s="4" t="s">
        <v>14</v>
      </c>
      <c r="E283" s="4">
        <v>1000000</v>
      </c>
      <c r="F283" s="5">
        <v>1.0000000000000001E-11</v>
      </c>
      <c r="G283" s="6">
        <v>9.98</v>
      </c>
      <c r="H283" s="28">
        <f t="shared" si="20"/>
        <v>998</v>
      </c>
      <c r="I283" s="39">
        <f t="shared" si="24"/>
        <v>0.20969696969696972</v>
      </c>
      <c r="J283" s="35">
        <v>1.28148E-9</v>
      </c>
      <c r="K283" s="41">
        <f t="shared" si="23"/>
        <v>24025.647755821366</v>
      </c>
      <c r="L283" s="42">
        <f t="shared" si="21"/>
        <v>4.1538942472765861</v>
      </c>
      <c r="M283" s="33">
        <v>8.8000000000000007</v>
      </c>
      <c r="N283" s="33">
        <v>64.099999999999994</v>
      </c>
      <c r="O283" s="33">
        <v>64.099999999999994</v>
      </c>
      <c r="P283" s="39">
        <f t="shared" si="22"/>
        <v>0.6409999999999999</v>
      </c>
    </row>
    <row r="284" spans="1:16" x14ac:dyDescent="0.25">
      <c r="A284" s="1">
        <v>1973.01</v>
      </c>
      <c r="B284" s="2" t="s">
        <v>13</v>
      </c>
      <c r="C284" s="3">
        <v>1973.01</v>
      </c>
      <c r="D284" s="4" t="s">
        <v>14</v>
      </c>
      <c r="E284" s="4">
        <v>1000000</v>
      </c>
      <c r="F284" s="5">
        <v>1.0000000000000001E-11</v>
      </c>
      <c r="G284" s="6">
        <v>9.98</v>
      </c>
      <c r="H284" s="28">
        <f t="shared" si="20"/>
        <v>998</v>
      </c>
      <c r="I284" s="39">
        <f t="shared" si="24"/>
        <v>3.9583333333333304E-2</v>
      </c>
      <c r="J284" s="35">
        <v>1.3407200000000001E-9</v>
      </c>
      <c r="K284" s="41">
        <f t="shared" si="23"/>
        <v>25136.300573699806</v>
      </c>
      <c r="L284" s="42">
        <f t="shared" si="21"/>
        <v>3.9703535413807503</v>
      </c>
      <c r="M284" s="33">
        <v>4.5999999999999996</v>
      </c>
      <c r="N284" s="33">
        <v>4.5999999999999996</v>
      </c>
      <c r="O284" s="33">
        <v>63.2</v>
      </c>
      <c r="P284" s="39">
        <f t="shared" si="22"/>
        <v>0.63200000000000001</v>
      </c>
    </row>
    <row r="285" spans="1:16" x14ac:dyDescent="0.25">
      <c r="A285" s="7"/>
      <c r="B285" s="2" t="s">
        <v>2</v>
      </c>
      <c r="C285" s="3">
        <v>1973.02</v>
      </c>
      <c r="D285" s="4" t="s">
        <v>14</v>
      </c>
      <c r="E285" s="4">
        <v>1000000</v>
      </c>
      <c r="F285" s="5">
        <v>1.0000000000000001E-11</v>
      </c>
      <c r="G285" s="6">
        <v>9.98</v>
      </c>
      <c r="H285" s="28">
        <f t="shared" si="20"/>
        <v>998</v>
      </c>
      <c r="I285" s="39">
        <f t="shared" si="24"/>
        <v>3.0991735537190035E-2</v>
      </c>
      <c r="J285" s="35">
        <v>1.4421800000000001E-9</v>
      </c>
      <c r="K285" s="41">
        <f t="shared" si="23"/>
        <v>27038.509130451086</v>
      </c>
      <c r="L285" s="42">
        <f t="shared" si="21"/>
        <v>3.6910319100251008</v>
      </c>
      <c r="M285" s="33">
        <v>7.6</v>
      </c>
      <c r="N285" s="33">
        <v>12.5</v>
      </c>
      <c r="O285" s="33">
        <v>69.5</v>
      </c>
      <c r="P285" s="39">
        <f t="shared" si="22"/>
        <v>0.69499999999999995</v>
      </c>
    </row>
    <row r="286" spans="1:16" x14ac:dyDescent="0.25">
      <c r="A286" s="7"/>
      <c r="B286" s="2" t="s">
        <v>3</v>
      </c>
      <c r="C286" s="3">
        <v>1973.03</v>
      </c>
      <c r="D286" s="4" t="s">
        <v>14</v>
      </c>
      <c r="E286" s="4">
        <v>1000000</v>
      </c>
      <c r="F286" s="5">
        <v>1.0000000000000001E-11</v>
      </c>
      <c r="G286" s="6">
        <v>9.98</v>
      </c>
      <c r="H286" s="28">
        <f t="shared" si="20"/>
        <v>998</v>
      </c>
      <c r="I286" s="39">
        <f t="shared" si="24"/>
        <v>2.3589743589743639E-2</v>
      </c>
      <c r="J286" s="35">
        <v>1.5660699999999999E-9</v>
      </c>
      <c r="K286" s="41">
        <f t="shared" si="23"/>
        <v>29361.243391203268</v>
      </c>
      <c r="L286" s="42">
        <f t="shared" si="21"/>
        <v>3.3990386125779821</v>
      </c>
      <c r="M286" s="33">
        <v>8.6</v>
      </c>
      <c r="N286" s="33">
        <v>22.2</v>
      </c>
      <c r="O286" s="33">
        <v>76.5</v>
      </c>
      <c r="P286" s="39">
        <f t="shared" si="22"/>
        <v>0.76500000000000001</v>
      </c>
    </row>
    <row r="287" spans="1:16" x14ac:dyDescent="0.25">
      <c r="A287" s="7"/>
      <c r="B287" s="2" t="s">
        <v>4</v>
      </c>
      <c r="C287" s="3">
        <v>1973.04</v>
      </c>
      <c r="D287" s="4" t="s">
        <v>14</v>
      </c>
      <c r="E287" s="4">
        <v>1000000</v>
      </c>
      <c r="F287" s="5">
        <v>1.0000000000000001E-11</v>
      </c>
      <c r="G287" s="6">
        <v>9.98</v>
      </c>
      <c r="H287" s="28">
        <f t="shared" si="20"/>
        <v>998</v>
      </c>
      <c r="I287" s="39">
        <f t="shared" si="24"/>
        <v>1.1144883485309176E-2</v>
      </c>
      <c r="J287" s="35">
        <v>1.63603E-9</v>
      </c>
      <c r="K287" s="41">
        <f t="shared" si="23"/>
        <v>30672.878623120476</v>
      </c>
      <c r="L287" s="42">
        <f t="shared" si="21"/>
        <v>3.2536887465388777</v>
      </c>
      <c r="M287" s="33">
        <v>4.5</v>
      </c>
      <c r="N287" s="33">
        <v>27.7</v>
      </c>
      <c r="O287" s="33">
        <v>75.900000000000006</v>
      </c>
      <c r="P287" s="39">
        <f t="shared" si="22"/>
        <v>0.75900000000000001</v>
      </c>
    </row>
    <row r="288" spans="1:16" x14ac:dyDescent="0.25">
      <c r="A288" s="7"/>
      <c r="B288" s="2" t="s">
        <v>5</v>
      </c>
      <c r="C288" s="3">
        <v>1973.05</v>
      </c>
      <c r="D288" s="4" t="s">
        <v>14</v>
      </c>
      <c r="E288" s="4">
        <v>1000000</v>
      </c>
      <c r="F288" s="5">
        <v>1.0000000000000001E-11</v>
      </c>
      <c r="G288" s="6">
        <v>9.98</v>
      </c>
      <c r="H288" s="28">
        <f t="shared" si="20"/>
        <v>998</v>
      </c>
      <c r="I288" s="39">
        <f t="shared" si="24"/>
        <v>8.0808080808081328E-3</v>
      </c>
      <c r="J288" s="35">
        <v>1.6926499999999999E-9</v>
      </c>
      <c r="K288" s="41">
        <f t="shared" si="23"/>
        <v>31734.410739060335</v>
      </c>
      <c r="L288" s="42">
        <f t="shared" si="21"/>
        <v>3.1448512096416859</v>
      </c>
      <c r="M288" s="33">
        <v>3.5</v>
      </c>
      <c r="N288" s="33">
        <v>32.1</v>
      </c>
      <c r="O288" s="33">
        <v>79.099999999999994</v>
      </c>
      <c r="P288" s="39">
        <f t="shared" si="22"/>
        <v>0.79099999999999993</v>
      </c>
    </row>
    <row r="289" spans="1:16" x14ac:dyDescent="0.25">
      <c r="A289" s="7"/>
      <c r="B289" s="2" t="s">
        <v>6</v>
      </c>
      <c r="C289" s="3">
        <v>1973.06</v>
      </c>
      <c r="D289" s="4" t="s">
        <v>14</v>
      </c>
      <c r="E289" s="4">
        <v>1000000</v>
      </c>
      <c r="F289" s="5">
        <v>1.0000000000000001E-11</v>
      </c>
      <c r="G289" s="6">
        <v>9.98</v>
      </c>
      <c r="H289" s="28">
        <f t="shared" si="20"/>
        <v>998</v>
      </c>
      <c r="I289" s="39">
        <f t="shared" si="24"/>
        <v>3.0150753768845018E-3</v>
      </c>
      <c r="J289" s="35">
        <v>1.6429600000000001E-9</v>
      </c>
      <c r="K289" s="41">
        <f t="shared" si="23"/>
        <v>30802.804754583976</v>
      </c>
      <c r="L289" s="42">
        <f t="shared" si="21"/>
        <v>3.2399646978623942</v>
      </c>
      <c r="M289" s="33">
        <v>-2.9</v>
      </c>
      <c r="N289" s="33">
        <v>28.2</v>
      </c>
      <c r="O289" s="33">
        <v>64.8</v>
      </c>
      <c r="P289" s="39">
        <f t="shared" si="22"/>
        <v>0.64800000000000002</v>
      </c>
    </row>
    <row r="290" spans="1:16" x14ac:dyDescent="0.25">
      <c r="A290" s="7"/>
      <c r="B290" s="2" t="s">
        <v>7</v>
      </c>
      <c r="C290" s="3">
        <v>1973.07</v>
      </c>
      <c r="D290" s="4" t="s">
        <v>14</v>
      </c>
      <c r="E290" s="4">
        <v>1000000</v>
      </c>
      <c r="F290" s="5">
        <v>1.0000000000000001E-11</v>
      </c>
      <c r="G290" s="6">
        <v>9.98</v>
      </c>
      <c r="H290" s="28">
        <f t="shared" si="20"/>
        <v>998</v>
      </c>
      <c r="I290" s="39">
        <f t="shared" si="24"/>
        <v>3.0150753768845018E-3</v>
      </c>
      <c r="J290" s="35">
        <v>1.6428199999999999E-9</v>
      </c>
      <c r="K290" s="41">
        <f t="shared" si="23"/>
        <v>30800.179984251376</v>
      </c>
      <c r="L290" s="42">
        <f t="shared" si="21"/>
        <v>3.240240805444297</v>
      </c>
      <c r="M290" s="33">
        <v>0</v>
      </c>
      <c r="N290" s="33">
        <v>28.2</v>
      </c>
      <c r="O290" s="33">
        <v>56.9</v>
      </c>
      <c r="P290" s="39">
        <f t="shared" si="22"/>
        <v>0.56899999999999995</v>
      </c>
    </row>
    <row r="291" spans="1:16" x14ac:dyDescent="0.25">
      <c r="A291" s="7"/>
      <c r="B291" s="2" t="s">
        <v>8</v>
      </c>
      <c r="C291" s="3">
        <v>1973.08</v>
      </c>
      <c r="D291" s="4" t="s">
        <v>14</v>
      </c>
      <c r="E291" s="4">
        <v>1000000</v>
      </c>
      <c r="F291" s="5">
        <v>1.0000000000000001E-11</v>
      </c>
      <c r="G291" s="6">
        <v>9.98</v>
      </c>
      <c r="H291" s="28">
        <f t="shared" si="20"/>
        <v>998</v>
      </c>
      <c r="I291" s="39">
        <f t="shared" si="24"/>
        <v>0</v>
      </c>
      <c r="J291" s="35">
        <v>1.65597E-9</v>
      </c>
      <c r="K291" s="41">
        <f t="shared" si="23"/>
        <v>31046.720911920209</v>
      </c>
      <c r="L291" s="42">
        <f t="shared" si="21"/>
        <v>3.2145101662469728</v>
      </c>
      <c r="M291" s="33">
        <v>0.8</v>
      </c>
      <c r="N291" s="33">
        <v>29.2</v>
      </c>
      <c r="O291" s="33">
        <v>58.4</v>
      </c>
      <c r="P291" s="39">
        <f t="shared" si="22"/>
        <v>0.58399999999999996</v>
      </c>
    </row>
    <row r="292" spans="1:16" x14ac:dyDescent="0.25">
      <c r="A292" s="7"/>
      <c r="B292" s="2" t="s">
        <v>9</v>
      </c>
      <c r="C292" s="3">
        <v>1973.09</v>
      </c>
      <c r="D292" s="4" t="s">
        <v>14</v>
      </c>
      <c r="E292" s="4">
        <v>1000000</v>
      </c>
      <c r="F292" s="5">
        <v>1.0000000000000001E-11</v>
      </c>
      <c r="G292" s="6">
        <v>9.98</v>
      </c>
      <c r="H292" s="28">
        <f t="shared" si="20"/>
        <v>998</v>
      </c>
      <c r="I292" s="39">
        <f t="shared" si="24"/>
        <v>0</v>
      </c>
      <c r="J292" s="35">
        <v>1.66462E-9</v>
      </c>
      <c r="K292" s="41">
        <f t="shared" si="23"/>
        <v>31208.894221755596</v>
      </c>
      <c r="L292" s="42">
        <f t="shared" si="21"/>
        <v>3.1978063461931252</v>
      </c>
      <c r="M292" s="33">
        <v>0.5</v>
      </c>
      <c r="N292" s="33">
        <v>29.9</v>
      </c>
      <c r="O292" s="33">
        <v>55.4</v>
      </c>
      <c r="P292" s="39">
        <f t="shared" si="22"/>
        <v>0.55399999999999994</v>
      </c>
    </row>
    <row r="293" spans="1:16" x14ac:dyDescent="0.25">
      <c r="A293" s="7"/>
      <c r="B293" s="2" t="s">
        <v>10</v>
      </c>
      <c r="C293" s="3">
        <v>1973.1</v>
      </c>
      <c r="D293" s="4" t="s">
        <v>14</v>
      </c>
      <c r="E293" s="4">
        <v>1000000</v>
      </c>
      <c r="F293" s="5">
        <v>1.0000000000000001E-11</v>
      </c>
      <c r="G293" s="6">
        <v>9.98</v>
      </c>
      <c r="H293" s="28">
        <f t="shared" si="20"/>
        <v>998</v>
      </c>
      <c r="I293" s="39">
        <f t="shared" si="24"/>
        <v>0</v>
      </c>
      <c r="J293" s="35">
        <v>1.6904299999999999E-9</v>
      </c>
      <c r="K293" s="41">
        <f t="shared" si="23"/>
        <v>31692.789380929167</v>
      </c>
      <c r="L293" s="42">
        <f t="shared" si="21"/>
        <v>3.1489812651218925</v>
      </c>
      <c r="M293" s="33">
        <v>1.6</v>
      </c>
      <c r="N293" s="33">
        <v>31.9</v>
      </c>
      <c r="O293" s="33">
        <v>50.5</v>
      </c>
      <c r="P293" s="39">
        <f t="shared" si="22"/>
        <v>0.505</v>
      </c>
    </row>
    <row r="294" spans="1:16" x14ac:dyDescent="0.25">
      <c r="A294" s="7"/>
      <c r="B294" s="2" t="s">
        <v>11</v>
      </c>
      <c r="C294" s="3">
        <v>1973.11</v>
      </c>
      <c r="D294" s="4" t="s">
        <v>14</v>
      </c>
      <c r="E294" s="4">
        <v>1000000</v>
      </c>
      <c r="F294" s="5">
        <v>1.0000000000000001E-11</v>
      </c>
      <c r="G294" s="6">
        <v>9.98</v>
      </c>
      <c r="H294" s="28">
        <f t="shared" si="20"/>
        <v>998</v>
      </c>
      <c r="I294" s="39">
        <f t="shared" si="24"/>
        <v>0</v>
      </c>
      <c r="J294" s="35">
        <v>1.7038599999999999E-9</v>
      </c>
      <c r="K294" s="41">
        <f t="shared" si="23"/>
        <v>31944.579849263191</v>
      </c>
      <c r="L294" s="42">
        <f t="shared" si="21"/>
        <v>3.1241606704776212</v>
      </c>
      <c r="M294" s="33">
        <v>0.8</v>
      </c>
      <c r="N294" s="33">
        <v>33</v>
      </c>
      <c r="O294" s="33">
        <v>44.7</v>
      </c>
      <c r="P294" s="39">
        <f t="shared" si="22"/>
        <v>0.44700000000000001</v>
      </c>
    </row>
    <row r="295" spans="1:16" x14ac:dyDescent="0.25">
      <c r="A295" s="7"/>
      <c r="B295" s="2" t="s">
        <v>12</v>
      </c>
      <c r="C295" s="3">
        <v>1973.12</v>
      </c>
      <c r="D295" s="4" t="s">
        <v>14</v>
      </c>
      <c r="E295" s="4">
        <v>1000000</v>
      </c>
      <c r="F295" s="5">
        <v>1.0000000000000001E-11</v>
      </c>
      <c r="G295" s="6">
        <v>9.98</v>
      </c>
      <c r="H295" s="28">
        <f t="shared" si="20"/>
        <v>998</v>
      </c>
      <c r="I295" s="39">
        <f t="shared" si="24"/>
        <v>0</v>
      </c>
      <c r="J295" s="35">
        <v>1.8423400000000001E-9</v>
      </c>
      <c r="K295" s="41">
        <f t="shared" si="23"/>
        <v>34540.852675390903</v>
      </c>
      <c r="L295" s="42">
        <f t="shared" si="21"/>
        <v>2.889332262231727</v>
      </c>
      <c r="M295" s="33">
        <v>8.1</v>
      </c>
      <c r="N295" s="33">
        <v>43.8</v>
      </c>
      <c r="O295" s="33">
        <v>43.8</v>
      </c>
      <c r="P295" s="39">
        <f t="shared" si="22"/>
        <v>0.43799999999999994</v>
      </c>
    </row>
    <row r="296" spans="1:16" x14ac:dyDescent="0.25">
      <c r="A296" s="1">
        <v>1974.01</v>
      </c>
      <c r="B296" s="2" t="s">
        <v>0</v>
      </c>
      <c r="C296" s="3">
        <v>1974.01</v>
      </c>
      <c r="D296" s="4" t="s">
        <v>14</v>
      </c>
      <c r="E296" s="4">
        <v>1000000</v>
      </c>
      <c r="F296" s="5">
        <v>1.0000000000000001E-11</v>
      </c>
      <c r="G296" s="6">
        <v>9.98</v>
      </c>
      <c r="H296" s="28">
        <f t="shared" si="20"/>
        <v>998</v>
      </c>
      <c r="I296" s="39">
        <f t="shared" si="24"/>
        <v>0</v>
      </c>
      <c r="J296" s="35">
        <v>1.7369500000000001E-9</v>
      </c>
      <c r="K296" s="41">
        <f t="shared" si="23"/>
        <v>32564.963065731754</v>
      </c>
      <c r="L296" s="42">
        <f t="shared" si="21"/>
        <v>3.0646434266962199</v>
      </c>
      <c r="M296" s="33">
        <v>-5.7</v>
      </c>
      <c r="N296" s="33">
        <v>-5.7</v>
      </c>
      <c r="O296" s="33">
        <v>29.6</v>
      </c>
      <c r="P296" s="39">
        <f t="shared" si="22"/>
        <v>0.29600000000000004</v>
      </c>
    </row>
    <row r="297" spans="1:16" x14ac:dyDescent="0.25">
      <c r="A297" s="7"/>
      <c r="B297" s="2" t="s">
        <v>2</v>
      </c>
      <c r="C297" s="3">
        <v>1974.02</v>
      </c>
      <c r="D297" s="4" t="s">
        <v>14</v>
      </c>
      <c r="E297" s="4">
        <v>1000000</v>
      </c>
      <c r="F297" s="5">
        <v>1.0000000000000001E-11</v>
      </c>
      <c r="G297" s="6">
        <v>9.98</v>
      </c>
      <c r="H297" s="28">
        <f t="shared" si="20"/>
        <v>998</v>
      </c>
      <c r="I297" s="39">
        <f t="shared" si="24"/>
        <v>0</v>
      </c>
      <c r="J297" s="35">
        <v>1.7641400000000001E-9</v>
      </c>
      <c r="K297" s="41">
        <f t="shared" si="23"/>
        <v>33074.730961040914</v>
      </c>
      <c r="L297" s="42">
        <f t="shared" si="21"/>
        <v>3.0174092759078075</v>
      </c>
      <c r="M297" s="33">
        <v>1.6</v>
      </c>
      <c r="N297" s="33">
        <v>-4.2</v>
      </c>
      <c r="O297" s="33">
        <v>22.3</v>
      </c>
      <c r="P297" s="39">
        <f t="shared" si="22"/>
        <v>0.223</v>
      </c>
    </row>
    <row r="298" spans="1:16" x14ac:dyDescent="0.25">
      <c r="A298" s="7"/>
      <c r="B298" s="2" t="s">
        <v>3</v>
      </c>
      <c r="C298" s="3">
        <v>1974.03</v>
      </c>
      <c r="D298" s="4" t="s">
        <v>14</v>
      </c>
      <c r="E298" s="4">
        <v>1000000</v>
      </c>
      <c r="F298" s="5">
        <v>1.0000000000000001E-11</v>
      </c>
      <c r="G298" s="6">
        <v>9.98</v>
      </c>
      <c r="H298" s="28">
        <f t="shared" si="20"/>
        <v>998</v>
      </c>
      <c r="I298" s="39">
        <f t="shared" si="24"/>
        <v>0</v>
      </c>
      <c r="J298" s="35">
        <v>1.7851100000000001E-9</v>
      </c>
      <c r="K298" s="41">
        <f t="shared" si="23"/>
        <v>33467.884060144737</v>
      </c>
      <c r="L298" s="42">
        <f t="shared" si="21"/>
        <v>2.9819632403605381</v>
      </c>
      <c r="M298" s="33">
        <v>1.2</v>
      </c>
      <c r="N298" s="33">
        <v>-3.1</v>
      </c>
      <c r="O298" s="33">
        <v>14</v>
      </c>
      <c r="P298" s="39">
        <f t="shared" si="22"/>
        <v>0.14000000000000001</v>
      </c>
    </row>
    <row r="299" spans="1:16" x14ac:dyDescent="0.25">
      <c r="A299" s="7"/>
      <c r="B299" s="2" t="s">
        <v>4</v>
      </c>
      <c r="C299" s="3">
        <v>1974.04</v>
      </c>
      <c r="D299" s="4" t="s">
        <v>14</v>
      </c>
      <c r="E299" s="4">
        <v>1000000</v>
      </c>
      <c r="F299" s="5">
        <v>1.0000000000000001E-11</v>
      </c>
      <c r="G299" s="6">
        <v>9.98</v>
      </c>
      <c r="H299" s="28">
        <f t="shared" si="20"/>
        <v>998</v>
      </c>
      <c r="I299" s="39">
        <f t="shared" si="24"/>
        <v>0</v>
      </c>
      <c r="J299" s="35">
        <v>1.83577E-9</v>
      </c>
      <c r="K299" s="41">
        <f t="shared" si="23"/>
        <v>34417.675953354083</v>
      </c>
      <c r="L299" s="42">
        <f t="shared" si="21"/>
        <v>2.8996728348322502</v>
      </c>
      <c r="M299" s="33">
        <v>2.8</v>
      </c>
      <c r="N299" s="33">
        <v>-0.4</v>
      </c>
      <c r="O299" s="33">
        <v>12.2</v>
      </c>
      <c r="P299" s="39">
        <f t="shared" si="22"/>
        <v>0.122</v>
      </c>
    </row>
    <row r="300" spans="1:16" x14ac:dyDescent="0.25">
      <c r="A300" s="7"/>
      <c r="B300" s="2" t="s">
        <v>5</v>
      </c>
      <c r="C300" s="3">
        <v>1974.05</v>
      </c>
      <c r="D300" s="4" t="s">
        <v>14</v>
      </c>
      <c r="E300" s="4">
        <v>1000000</v>
      </c>
      <c r="F300" s="5">
        <v>1.0000000000000001E-11</v>
      </c>
      <c r="G300" s="6">
        <v>9.98</v>
      </c>
      <c r="H300" s="28">
        <f t="shared" si="20"/>
        <v>998</v>
      </c>
      <c r="I300" s="39">
        <f t="shared" si="24"/>
        <v>0</v>
      </c>
      <c r="J300" s="35">
        <v>1.8968800000000002E-9</v>
      </c>
      <c r="K300" s="41">
        <f t="shared" si="23"/>
        <v>35563.388203532195</v>
      </c>
      <c r="L300" s="42">
        <f t="shared" si="21"/>
        <v>2.8062568006410524</v>
      </c>
      <c r="M300" s="33">
        <v>3.3</v>
      </c>
      <c r="N300" s="33">
        <v>3</v>
      </c>
      <c r="O300" s="33">
        <v>12.1</v>
      </c>
      <c r="P300" s="39">
        <f t="shared" si="22"/>
        <v>0.121</v>
      </c>
    </row>
    <row r="301" spans="1:16" x14ac:dyDescent="0.25">
      <c r="A301" s="7"/>
      <c r="B301" s="2" t="s">
        <v>6</v>
      </c>
      <c r="C301" s="3">
        <v>1974.06</v>
      </c>
      <c r="D301" s="4" t="s">
        <v>14</v>
      </c>
      <c r="E301" s="4">
        <v>1000000</v>
      </c>
      <c r="F301" s="5">
        <v>1.0000000000000001E-11</v>
      </c>
      <c r="G301" s="6">
        <v>9.98</v>
      </c>
      <c r="H301" s="28">
        <f t="shared" si="20"/>
        <v>998</v>
      </c>
      <c r="I301" s="39">
        <f t="shared" si="24"/>
        <v>0</v>
      </c>
      <c r="J301" s="35">
        <v>1.9695500000000001E-9</v>
      </c>
      <c r="K301" s="41">
        <f t="shared" si="23"/>
        <v>36925.831489744647</v>
      </c>
      <c r="L301" s="42">
        <f t="shared" si="21"/>
        <v>2.7027150364296411</v>
      </c>
      <c r="M301" s="33">
        <v>3.8</v>
      </c>
      <c r="N301" s="33">
        <v>6.9</v>
      </c>
      <c r="O301" s="33">
        <v>19.899999999999999</v>
      </c>
      <c r="P301" s="39">
        <f t="shared" si="22"/>
        <v>0.19899999999999998</v>
      </c>
    </row>
    <row r="302" spans="1:16" x14ac:dyDescent="0.25">
      <c r="A302" s="7"/>
      <c r="B302" s="2" t="s">
        <v>7</v>
      </c>
      <c r="C302" s="3">
        <v>1974.07</v>
      </c>
      <c r="D302" s="4" t="s">
        <v>14</v>
      </c>
      <c r="E302" s="4">
        <v>1000000</v>
      </c>
      <c r="F302" s="5">
        <v>1.0000000000000001E-11</v>
      </c>
      <c r="G302" s="6">
        <v>9.98</v>
      </c>
      <c r="H302" s="28">
        <f t="shared" si="20"/>
        <v>998</v>
      </c>
      <c r="I302" s="39">
        <f t="shared" si="24"/>
        <v>0</v>
      </c>
      <c r="J302" s="35">
        <v>2.0147600000000002E-9</v>
      </c>
      <c r="K302" s="41">
        <f t="shared" si="23"/>
        <v>37773.444823577942</v>
      </c>
      <c r="L302" s="42">
        <f t="shared" si="21"/>
        <v>2.6420677400782222</v>
      </c>
      <c r="M302" s="33">
        <v>2.2999999999999998</v>
      </c>
      <c r="N302" s="33">
        <v>9.4</v>
      </c>
      <c r="O302" s="33">
        <v>22.6</v>
      </c>
      <c r="P302" s="39">
        <f t="shared" si="22"/>
        <v>0.22600000000000001</v>
      </c>
    </row>
    <row r="303" spans="1:16" x14ac:dyDescent="0.25">
      <c r="A303" s="7"/>
      <c r="B303" s="2" t="s">
        <v>8</v>
      </c>
      <c r="C303" s="3">
        <v>1974.08</v>
      </c>
      <c r="D303" s="4" t="s">
        <v>14</v>
      </c>
      <c r="E303" s="4">
        <v>1000000</v>
      </c>
      <c r="F303" s="5">
        <v>1.0000000000000001E-11</v>
      </c>
      <c r="G303" s="6">
        <v>9.98</v>
      </c>
      <c r="H303" s="28">
        <f t="shared" si="20"/>
        <v>998</v>
      </c>
      <c r="I303" s="39">
        <f t="shared" si="24"/>
        <v>0</v>
      </c>
      <c r="J303" s="35">
        <v>2.0521900000000001E-9</v>
      </c>
      <c r="K303" s="41">
        <f t="shared" si="23"/>
        <v>38475.195920356971</v>
      </c>
      <c r="L303" s="42">
        <f t="shared" si="21"/>
        <v>2.5938789293389011</v>
      </c>
      <c r="M303" s="33">
        <v>1.9</v>
      </c>
      <c r="N303" s="33">
        <v>11.4</v>
      </c>
      <c r="O303" s="33">
        <v>23.9</v>
      </c>
      <c r="P303" s="39">
        <f t="shared" si="22"/>
        <v>0.23899999999999999</v>
      </c>
    </row>
    <row r="304" spans="1:16" x14ac:dyDescent="0.25">
      <c r="A304" s="7"/>
      <c r="B304" s="2" t="s">
        <v>9</v>
      </c>
      <c r="C304" s="3">
        <v>1974.09</v>
      </c>
      <c r="D304" s="4" t="s">
        <v>14</v>
      </c>
      <c r="E304" s="4">
        <v>1000000</v>
      </c>
      <c r="F304" s="5">
        <v>1.0000000000000001E-11</v>
      </c>
      <c r="G304" s="6">
        <v>9.98</v>
      </c>
      <c r="H304" s="28">
        <f t="shared" si="20"/>
        <v>998</v>
      </c>
      <c r="I304" s="39">
        <f t="shared" si="24"/>
        <v>0</v>
      </c>
      <c r="J304" s="35">
        <v>2.1200199999999999E-9</v>
      </c>
      <c r="K304" s="41">
        <f t="shared" si="23"/>
        <v>39746.897146499679</v>
      </c>
      <c r="L304" s="42">
        <f t="shared" si="21"/>
        <v>2.510887821813002</v>
      </c>
      <c r="M304" s="33">
        <v>3.3</v>
      </c>
      <c r="N304" s="33">
        <v>15.1</v>
      </c>
      <c r="O304" s="33">
        <v>27.4</v>
      </c>
      <c r="P304" s="39">
        <f t="shared" si="22"/>
        <v>0.27399999999999997</v>
      </c>
    </row>
    <row r="305" spans="1:16" x14ac:dyDescent="0.25">
      <c r="A305" s="7"/>
      <c r="B305" s="2" t="s">
        <v>10</v>
      </c>
      <c r="C305" s="3">
        <v>1974.1</v>
      </c>
      <c r="D305" s="4" t="s">
        <v>14</v>
      </c>
      <c r="E305" s="4">
        <v>1000000</v>
      </c>
      <c r="F305" s="5">
        <v>1.0000000000000001E-11</v>
      </c>
      <c r="G305" s="6">
        <v>9.98</v>
      </c>
      <c r="H305" s="28">
        <f t="shared" si="20"/>
        <v>998</v>
      </c>
      <c r="I305" s="39">
        <f t="shared" si="24"/>
        <v>0</v>
      </c>
      <c r="J305" s="35">
        <v>2.20016E-9</v>
      </c>
      <c r="K305" s="41">
        <f t="shared" si="23"/>
        <v>41249.390678315649</v>
      </c>
      <c r="L305" s="42">
        <f t="shared" si="21"/>
        <v>2.4194296778416113</v>
      </c>
      <c r="M305" s="33">
        <v>3.8</v>
      </c>
      <c r="N305" s="33">
        <v>19.399999999999999</v>
      </c>
      <c r="O305" s="33">
        <v>30.2</v>
      </c>
      <c r="P305" s="39">
        <f t="shared" si="22"/>
        <v>0.30199999999999999</v>
      </c>
    </row>
    <row r="306" spans="1:16" x14ac:dyDescent="0.25">
      <c r="A306" s="7"/>
      <c r="B306" s="2" t="s">
        <v>11</v>
      </c>
      <c r="C306" s="3">
        <v>1974.11</v>
      </c>
      <c r="D306" s="4" t="s">
        <v>14</v>
      </c>
      <c r="E306" s="4">
        <v>1000000</v>
      </c>
      <c r="F306" s="5">
        <v>1.0000000000000001E-11</v>
      </c>
      <c r="G306" s="6">
        <v>9.98</v>
      </c>
      <c r="H306" s="28">
        <f t="shared" si="20"/>
        <v>998</v>
      </c>
      <c r="I306" s="39">
        <f t="shared" si="24"/>
        <v>0</v>
      </c>
      <c r="J306" s="35">
        <v>2.2911700000000001E-9</v>
      </c>
      <c r="K306" s="41">
        <f t="shared" si="23"/>
        <v>42955.678878098166</v>
      </c>
      <c r="L306" s="42">
        <f t="shared" si="21"/>
        <v>2.3233249387867332</v>
      </c>
      <c r="M306" s="33">
        <v>4.0999999999999996</v>
      </c>
      <c r="N306" s="33">
        <v>24.4</v>
      </c>
      <c r="O306" s="33">
        <v>34.5</v>
      </c>
      <c r="P306" s="39">
        <f t="shared" si="22"/>
        <v>0.34499999999999997</v>
      </c>
    </row>
    <row r="307" spans="1:16" x14ac:dyDescent="0.25">
      <c r="A307" s="7"/>
      <c r="B307" s="2" t="s">
        <v>12</v>
      </c>
      <c r="C307" s="3">
        <v>1974.12</v>
      </c>
      <c r="D307" s="4" t="s">
        <v>14</v>
      </c>
      <c r="E307" s="4">
        <v>1000000</v>
      </c>
      <c r="F307" s="5">
        <v>1.0000000000000001E-11</v>
      </c>
      <c r="G307" s="6">
        <v>9.98</v>
      </c>
      <c r="H307" s="28">
        <f t="shared" si="20"/>
        <v>998</v>
      </c>
      <c r="I307" s="39">
        <f t="shared" si="24"/>
        <v>0</v>
      </c>
      <c r="J307" s="35">
        <v>2.5811499999999999E-9</v>
      </c>
      <c r="K307" s="41">
        <f t="shared" si="23"/>
        <v>48392.328171285015</v>
      </c>
      <c r="L307" s="42">
        <f t="shared" si="21"/>
        <v>2.0623103655347421</v>
      </c>
      <c r="M307" s="33">
        <v>12.7</v>
      </c>
      <c r="N307" s="33">
        <v>40.1</v>
      </c>
      <c r="O307" s="33">
        <v>40.1</v>
      </c>
      <c r="P307" s="39">
        <f t="shared" si="22"/>
        <v>0.40100000000000002</v>
      </c>
    </row>
    <row r="308" spans="1:16" x14ac:dyDescent="0.25">
      <c r="A308" s="1">
        <v>1975.01</v>
      </c>
      <c r="B308" s="2" t="s">
        <v>0</v>
      </c>
      <c r="C308" s="3">
        <v>1975.01</v>
      </c>
      <c r="D308" s="4" t="s">
        <v>14</v>
      </c>
      <c r="E308" s="4">
        <v>1000000</v>
      </c>
      <c r="F308" s="5">
        <v>1.0000000000000001E-11</v>
      </c>
      <c r="G308" s="6">
        <v>9.98</v>
      </c>
      <c r="H308" s="28">
        <f t="shared" si="20"/>
        <v>998</v>
      </c>
      <c r="I308" s="39">
        <f t="shared" si="24"/>
        <v>0</v>
      </c>
      <c r="J308" s="36">
        <v>2.6557999999999999E-9</v>
      </c>
      <c r="K308" s="41">
        <f t="shared" si="23"/>
        <v>49791.893209344176</v>
      </c>
      <c r="L308" s="42">
        <f t="shared" si="21"/>
        <v>2.004342345056104</v>
      </c>
      <c r="M308" s="33">
        <v>2.9</v>
      </c>
      <c r="N308" s="33">
        <v>2.9</v>
      </c>
      <c r="O308" s="33">
        <v>52.9</v>
      </c>
      <c r="P308" s="39">
        <f t="shared" si="22"/>
        <v>0.52900000000000003</v>
      </c>
    </row>
    <row r="309" spans="1:16" x14ac:dyDescent="0.25">
      <c r="A309" s="7"/>
      <c r="B309" s="2" t="s">
        <v>2</v>
      </c>
      <c r="C309" s="3">
        <v>1975.02</v>
      </c>
      <c r="D309" s="4" t="s">
        <v>14</v>
      </c>
      <c r="E309" s="4">
        <v>1000000</v>
      </c>
      <c r="F309" s="5">
        <v>1.0000000000000001E-11</v>
      </c>
      <c r="G309" s="6">
        <v>9.98</v>
      </c>
      <c r="H309" s="28">
        <f t="shared" si="20"/>
        <v>998</v>
      </c>
      <c r="I309" s="39">
        <f t="shared" si="24"/>
        <v>0</v>
      </c>
      <c r="J309" s="36">
        <v>2.7783999999999998E-9</v>
      </c>
      <c r="K309" s="41">
        <f t="shared" si="23"/>
        <v>52090.442086317453</v>
      </c>
      <c r="L309" s="42">
        <f t="shared" si="21"/>
        <v>1.915898502735387</v>
      </c>
      <c r="M309" s="33">
        <v>4.5999999999999996</v>
      </c>
      <c r="N309" s="33">
        <v>7.6</v>
      </c>
      <c r="O309" s="33">
        <v>57.5</v>
      </c>
      <c r="P309" s="39">
        <f t="shared" si="22"/>
        <v>0.57499999999999996</v>
      </c>
    </row>
    <row r="310" spans="1:16" x14ac:dyDescent="0.25">
      <c r="A310" s="7"/>
      <c r="B310" s="2" t="s">
        <v>3</v>
      </c>
      <c r="C310" s="3">
        <v>1975.03</v>
      </c>
      <c r="D310" s="4" t="s">
        <v>14</v>
      </c>
      <c r="E310" s="4">
        <v>1000000</v>
      </c>
      <c r="F310" s="5">
        <v>1.0000000000000001E-11</v>
      </c>
      <c r="G310" s="6">
        <v>15.1</v>
      </c>
      <c r="H310" s="28">
        <f t="shared" si="20"/>
        <v>1510</v>
      </c>
      <c r="I310" s="39">
        <f t="shared" si="24"/>
        <v>0.51302605210420849</v>
      </c>
      <c r="J310" s="36">
        <v>3.0036999999999999E-9</v>
      </c>
      <c r="K310" s="41">
        <f t="shared" si="23"/>
        <v>56314.44748584499</v>
      </c>
      <c r="L310" s="42">
        <f t="shared" si="21"/>
        <v>2.681372307487432</v>
      </c>
      <c r="M310" s="33">
        <v>8.1</v>
      </c>
      <c r="N310" s="33">
        <v>16.399999999999999</v>
      </c>
      <c r="O310" s="33">
        <v>68.3</v>
      </c>
      <c r="P310" s="39">
        <f t="shared" si="22"/>
        <v>0.68299999999999994</v>
      </c>
    </row>
    <row r="311" spans="1:16" x14ac:dyDescent="0.25">
      <c r="A311" s="7"/>
      <c r="B311" s="2" t="s">
        <v>4</v>
      </c>
      <c r="C311" s="3">
        <v>1975.04</v>
      </c>
      <c r="D311" s="4" t="s">
        <v>14</v>
      </c>
      <c r="E311" s="4">
        <v>1000000</v>
      </c>
      <c r="F311" s="5">
        <v>1.0000000000000001E-11</v>
      </c>
      <c r="G311" s="6">
        <v>15.1</v>
      </c>
      <c r="H311" s="28">
        <f t="shared" si="20"/>
        <v>1510</v>
      </c>
      <c r="I311" s="39">
        <f t="shared" si="24"/>
        <v>0.51302605210420849</v>
      </c>
      <c r="J311" s="36">
        <v>3.2949999999999999E-9</v>
      </c>
      <c r="K311" s="41">
        <f t="shared" si="23"/>
        <v>61775.84461359631</v>
      </c>
      <c r="L311" s="42">
        <f t="shared" si="21"/>
        <v>2.444321092564492</v>
      </c>
      <c r="M311" s="33">
        <v>9.6999999999999993</v>
      </c>
      <c r="N311" s="33">
        <v>27.7</v>
      </c>
      <c r="O311" s="33">
        <v>79.5</v>
      </c>
      <c r="P311" s="39">
        <f t="shared" si="22"/>
        <v>0.79500000000000004</v>
      </c>
    </row>
    <row r="312" spans="1:16" x14ac:dyDescent="0.25">
      <c r="A312" s="7"/>
      <c r="B312" s="2" t="s">
        <v>5</v>
      </c>
      <c r="C312" s="3">
        <v>1975.05</v>
      </c>
      <c r="D312" s="4" t="s">
        <v>14</v>
      </c>
      <c r="E312" s="4">
        <v>1000000</v>
      </c>
      <c r="F312" s="5">
        <v>1.0000000000000001E-11</v>
      </c>
      <c r="G312" s="6">
        <v>15.1</v>
      </c>
      <c r="H312" s="28">
        <f t="shared" si="20"/>
        <v>1510</v>
      </c>
      <c r="I312" s="39">
        <f t="shared" si="24"/>
        <v>0.51302605210420849</v>
      </c>
      <c r="J312" s="36">
        <v>3.4231999999999999E-9</v>
      </c>
      <c r="K312" s="41">
        <f t="shared" si="23"/>
        <v>64179.384303873419</v>
      </c>
      <c r="L312" s="42">
        <f t="shared" si="21"/>
        <v>2.3527804393549894</v>
      </c>
      <c r="M312" s="33">
        <v>3.9</v>
      </c>
      <c r="N312" s="33">
        <v>32.6</v>
      </c>
      <c r="O312" s="33">
        <v>80.5</v>
      </c>
      <c r="P312" s="39">
        <f t="shared" si="22"/>
        <v>0.80500000000000005</v>
      </c>
    </row>
    <row r="313" spans="1:16" x14ac:dyDescent="0.25">
      <c r="A313" s="7"/>
      <c r="B313" s="2" t="s">
        <v>6</v>
      </c>
      <c r="C313" s="3">
        <v>1975.06</v>
      </c>
      <c r="D313" s="4" t="s">
        <v>14</v>
      </c>
      <c r="E313" s="4">
        <v>1000000</v>
      </c>
      <c r="F313" s="5">
        <v>1.0000000000000001E-11</v>
      </c>
      <c r="G313" s="6">
        <v>30.09</v>
      </c>
      <c r="H313" s="28">
        <f t="shared" ref="H313:H319" si="25">+G313*100</f>
        <v>3009</v>
      </c>
      <c r="I313" s="39">
        <f t="shared" si="24"/>
        <v>2.0150300601202407</v>
      </c>
      <c r="J313" s="36">
        <v>4.1469000000000002E-9</v>
      </c>
      <c r="K313" s="41">
        <f t="shared" si="23"/>
        <v>77747.572087442357</v>
      </c>
      <c r="L313" s="42">
        <f t="shared" si="21"/>
        <v>3.8702173189611515</v>
      </c>
      <c r="M313" s="33">
        <v>21.1</v>
      </c>
      <c r="N313" s="33">
        <v>60.7</v>
      </c>
      <c r="O313" s="33">
        <v>110.5</v>
      </c>
      <c r="P313" s="39">
        <f t="shared" si="22"/>
        <v>1.105</v>
      </c>
    </row>
    <row r="314" spans="1:16" x14ac:dyDescent="0.25">
      <c r="A314" s="7"/>
      <c r="B314" s="2" t="s">
        <v>7</v>
      </c>
      <c r="C314" s="3">
        <v>1975.07</v>
      </c>
      <c r="D314" s="4" t="s">
        <v>14</v>
      </c>
      <c r="E314" s="4">
        <v>1000000</v>
      </c>
      <c r="F314" s="5">
        <v>1.0000000000000001E-11</v>
      </c>
      <c r="G314" s="6">
        <v>35.5</v>
      </c>
      <c r="H314" s="28">
        <f t="shared" si="25"/>
        <v>3550</v>
      </c>
      <c r="I314" s="39">
        <f t="shared" si="24"/>
        <v>2.5571142284569137</v>
      </c>
      <c r="J314" s="36">
        <v>5.5871999999999999E-9</v>
      </c>
      <c r="K314" s="41">
        <f t="shared" si="23"/>
        <v>104750.83430199858</v>
      </c>
      <c r="L314" s="42">
        <f t="shared" si="21"/>
        <v>3.3889944873997706</v>
      </c>
      <c r="M314" s="33">
        <v>34.700000000000003</v>
      </c>
      <c r="N314" s="33">
        <v>116.5</v>
      </c>
      <c r="O314" s="33">
        <v>177.3</v>
      </c>
      <c r="P314" s="39">
        <f t="shared" si="22"/>
        <v>1.7730000000000001</v>
      </c>
    </row>
    <row r="315" spans="1:16" x14ac:dyDescent="0.25">
      <c r="A315" s="7"/>
      <c r="B315" s="2" t="s">
        <v>8</v>
      </c>
      <c r="C315" s="3">
        <v>1975.08</v>
      </c>
      <c r="D315" s="4" t="s">
        <v>14</v>
      </c>
      <c r="E315" s="4">
        <v>1000000</v>
      </c>
      <c r="F315" s="5">
        <v>1.0000000000000001E-11</v>
      </c>
      <c r="G315" s="6">
        <v>63.18</v>
      </c>
      <c r="H315" s="28">
        <f t="shared" si="25"/>
        <v>6318</v>
      </c>
      <c r="I315" s="39">
        <f t="shared" si="24"/>
        <v>5.330661322645291</v>
      </c>
      <c r="J315" s="36">
        <v>6.8428000000000004E-9</v>
      </c>
      <c r="K315" s="41">
        <f t="shared" si="23"/>
        <v>128291.27451348008</v>
      </c>
      <c r="L315" s="42">
        <f t="shared" si="21"/>
        <v>4.9247308704039279</v>
      </c>
      <c r="M315" s="33">
        <v>22.5</v>
      </c>
      <c r="N315" s="33">
        <v>165.1</v>
      </c>
      <c r="O315" s="33">
        <v>233.4</v>
      </c>
      <c r="P315" s="39">
        <f t="shared" si="22"/>
        <v>2.3340000000000001</v>
      </c>
    </row>
    <row r="316" spans="1:16" x14ac:dyDescent="0.25">
      <c r="A316" s="7"/>
      <c r="B316" s="2" t="s">
        <v>9</v>
      </c>
      <c r="C316" s="3">
        <v>1975.09</v>
      </c>
      <c r="D316" s="4" t="s">
        <v>14</v>
      </c>
      <c r="E316" s="4">
        <v>1000000</v>
      </c>
      <c r="F316" s="5">
        <v>1.0000000000000001E-11</v>
      </c>
      <c r="G316" s="6">
        <v>66.69</v>
      </c>
      <c r="H316" s="28">
        <f t="shared" si="25"/>
        <v>6669</v>
      </c>
      <c r="I316" s="39">
        <f t="shared" si="24"/>
        <v>5.6823647294589179</v>
      </c>
      <c r="J316" s="36">
        <v>7.5822999999999993E-9</v>
      </c>
      <c r="K316" s="41">
        <f t="shared" si="23"/>
        <v>142155.68637744198</v>
      </c>
      <c r="L316" s="42">
        <f t="shared" si="21"/>
        <v>4.6913353731717287</v>
      </c>
      <c r="M316" s="33">
        <v>10.8</v>
      </c>
      <c r="N316" s="33">
        <v>193.8</v>
      </c>
      <c r="O316" s="33">
        <v>257.7</v>
      </c>
      <c r="P316" s="39">
        <f t="shared" si="22"/>
        <v>2.577</v>
      </c>
    </row>
    <row r="317" spans="1:16" x14ac:dyDescent="0.25">
      <c r="A317" s="7"/>
      <c r="B317" s="2" t="s">
        <v>10</v>
      </c>
      <c r="C317" s="3">
        <v>1975.1</v>
      </c>
      <c r="D317" s="4" t="s">
        <v>14</v>
      </c>
      <c r="E317" s="4">
        <v>1000000</v>
      </c>
      <c r="F317" s="5">
        <v>1.0000000000000001E-11</v>
      </c>
      <c r="G317" s="6">
        <v>68.989999999999995</v>
      </c>
      <c r="H317" s="28">
        <f t="shared" si="25"/>
        <v>6898.9999999999991</v>
      </c>
      <c r="I317" s="39">
        <f t="shared" si="24"/>
        <v>5.9128256513026045</v>
      </c>
      <c r="J317" s="36">
        <v>8.6282000000000005E-9</v>
      </c>
      <c r="K317" s="41">
        <f t="shared" si="23"/>
        <v>161764.5955978852</v>
      </c>
      <c r="L317" s="42">
        <f t="shared" si="21"/>
        <v>4.2648392712269061</v>
      </c>
      <c r="M317" s="33">
        <v>13.8</v>
      </c>
      <c r="N317" s="33">
        <v>234.3</v>
      </c>
      <c r="O317" s="33">
        <v>292.2</v>
      </c>
      <c r="P317" s="39">
        <f t="shared" si="22"/>
        <v>2.9219999999999997</v>
      </c>
    </row>
    <row r="318" spans="1:16" x14ac:dyDescent="0.25">
      <c r="A318" s="7"/>
      <c r="B318" s="2" t="s">
        <v>11</v>
      </c>
      <c r="C318" s="3">
        <v>1975.11</v>
      </c>
      <c r="D318" s="4" t="s">
        <v>14</v>
      </c>
      <c r="E318" s="4">
        <v>1000000</v>
      </c>
      <c r="F318" s="5">
        <v>1.0000000000000001E-11</v>
      </c>
      <c r="G318" s="6">
        <v>75.3</v>
      </c>
      <c r="H318" s="28">
        <f t="shared" si="25"/>
        <v>7530</v>
      </c>
      <c r="I318" s="39">
        <f t="shared" si="24"/>
        <v>6.5450901803607211</v>
      </c>
      <c r="J318" s="36">
        <v>9.4006999999999996E-9</v>
      </c>
      <c r="K318" s="41">
        <f t="shared" si="23"/>
        <v>176247.70332595898</v>
      </c>
      <c r="L318" s="42">
        <f t="shared" si="21"/>
        <v>4.2723960981629023</v>
      </c>
      <c r="M318" s="33">
        <v>9</v>
      </c>
      <c r="N318" s="33">
        <v>264.2</v>
      </c>
      <c r="O318" s="33">
        <v>310.3</v>
      </c>
      <c r="P318" s="39">
        <f t="shared" si="22"/>
        <v>3.1030000000000002</v>
      </c>
    </row>
    <row r="319" spans="1:16" x14ac:dyDescent="0.25">
      <c r="A319" s="7"/>
      <c r="B319" s="2" t="s">
        <v>12</v>
      </c>
      <c r="C319" s="3">
        <v>1975.12</v>
      </c>
      <c r="D319" s="4" t="s">
        <v>14</v>
      </c>
      <c r="E319" s="4">
        <v>1000000</v>
      </c>
      <c r="F319" s="5">
        <v>1.0000000000000001E-11</v>
      </c>
      <c r="G319" s="6">
        <v>86.62</v>
      </c>
      <c r="H319" s="28">
        <f t="shared" si="25"/>
        <v>8662</v>
      </c>
      <c r="I319" s="39">
        <f t="shared" si="24"/>
        <v>7.6793587174348694</v>
      </c>
      <c r="J319" s="37">
        <v>1.1227E-8</v>
      </c>
      <c r="K319" s="41">
        <f t="shared" si="23"/>
        <v>210487.8323146725</v>
      </c>
      <c r="L319" s="42">
        <f t="shared" si="21"/>
        <v>4.1152022445889367</v>
      </c>
      <c r="M319" s="31">
        <v>19.399999999999999</v>
      </c>
      <c r="N319" s="31">
        <v>335</v>
      </c>
      <c r="O319" s="31">
        <v>335</v>
      </c>
      <c r="P319" s="39">
        <f t="shared" si="22"/>
        <v>3.35</v>
      </c>
    </row>
  </sheetData>
  <autoFilter ref="A8:O319" xr:uid="{033FE330-C1CF-4742-ADD4-251F2B621E1C}"/>
  <hyperlinks>
    <hyperlink ref="D1" location="nota_moneda" display="Expresión monetaria (m)" xr:uid="{04699AFB-011B-4E9E-9467-FC503630E80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5066-A4FE-4E26-9FCD-7054C9CB6296}">
  <dimension ref="A1:C26"/>
  <sheetViews>
    <sheetView tabSelected="1" topLeftCell="A7" workbookViewId="0">
      <selection activeCell="C3" sqref="C3:C26"/>
    </sheetView>
  </sheetViews>
  <sheetFormatPr baseColWidth="10" defaultRowHeight="15" x14ac:dyDescent="0.25"/>
  <sheetData>
    <row r="1" spans="1:3" x14ac:dyDescent="0.25">
      <c r="B1" t="s">
        <v>40</v>
      </c>
    </row>
    <row r="2" spans="1:3" x14ac:dyDescent="0.25">
      <c r="A2" s="43">
        <v>1950</v>
      </c>
      <c r="B2" s="44">
        <v>2.1859831059644671E-3</v>
      </c>
    </row>
    <row r="3" spans="1:3" x14ac:dyDescent="0.25">
      <c r="A3" s="45">
        <v>1951</v>
      </c>
      <c r="B3" s="44">
        <v>2.6515506027918788E-3</v>
      </c>
      <c r="C3" s="39">
        <f>+B3/B2-1</f>
        <v>0.21297854295264607</v>
      </c>
    </row>
    <row r="4" spans="1:3" x14ac:dyDescent="0.25">
      <c r="A4" s="45">
        <v>1952</v>
      </c>
      <c r="B4" s="44">
        <v>3.0155159422588836E-3</v>
      </c>
      <c r="C4" s="39">
        <f t="shared" ref="C4:C26" si="0">+B4/B3-1</f>
        <v>0.1372650927663901</v>
      </c>
    </row>
    <row r="5" spans="1:3" x14ac:dyDescent="0.25">
      <c r="A5" s="45">
        <v>1953</v>
      </c>
      <c r="B5" s="44">
        <v>3.7408788071065994E-3</v>
      </c>
      <c r="C5" s="39">
        <f t="shared" si="0"/>
        <v>0.24054353508221094</v>
      </c>
    </row>
    <row r="6" spans="1:3" x14ac:dyDescent="0.25">
      <c r="A6" s="45">
        <v>1954</v>
      </c>
      <c r="B6" s="44">
        <v>4.3503430361675139E-3</v>
      </c>
      <c r="C6" s="39">
        <f t="shared" si="0"/>
        <v>0.16292006784692048</v>
      </c>
    </row>
    <row r="7" spans="1:3" x14ac:dyDescent="0.25">
      <c r="A7" s="45">
        <v>1955</v>
      </c>
      <c r="B7" s="44">
        <v>5.1170387848984786E-3</v>
      </c>
      <c r="C7" s="39">
        <f t="shared" si="0"/>
        <v>0.17623799832722953</v>
      </c>
    </row>
    <row r="8" spans="1:3" x14ac:dyDescent="0.25">
      <c r="A8" s="45">
        <v>1956</v>
      </c>
      <c r="B8" s="44">
        <v>5.9721902760152311E-3</v>
      </c>
      <c r="C8" s="39">
        <f t="shared" si="0"/>
        <v>0.16711843061273934</v>
      </c>
    </row>
    <row r="9" spans="1:3" x14ac:dyDescent="0.25">
      <c r="A9" s="45">
        <v>1957</v>
      </c>
      <c r="B9" s="44">
        <v>6.0000000000000001E-3</v>
      </c>
      <c r="C9" s="39">
        <f t="shared" si="0"/>
        <v>4.6565368314628319E-3</v>
      </c>
    </row>
    <row r="10" spans="1:3" x14ac:dyDescent="0.25">
      <c r="A10" s="45">
        <v>1958</v>
      </c>
      <c r="B10" s="44">
        <v>8.4499999999999992E-3</v>
      </c>
      <c r="C10" s="39">
        <f t="shared" si="0"/>
        <v>0.40833333333333321</v>
      </c>
    </row>
    <row r="11" spans="1:3" x14ac:dyDescent="0.25">
      <c r="A11" s="45">
        <v>1959</v>
      </c>
      <c r="B11" s="46">
        <v>1.1900000000000001E-2</v>
      </c>
      <c r="C11" s="39">
        <f t="shared" si="0"/>
        <v>0.40828402366863936</v>
      </c>
    </row>
    <row r="12" spans="1:3" x14ac:dyDescent="0.25">
      <c r="A12" s="43">
        <v>1960</v>
      </c>
      <c r="B12" s="46">
        <v>1.4370000000000001E-2</v>
      </c>
      <c r="C12" s="39">
        <f t="shared" si="0"/>
        <v>0.20756302521008396</v>
      </c>
    </row>
    <row r="13" spans="1:3" x14ac:dyDescent="0.25">
      <c r="A13" s="45">
        <v>1961</v>
      </c>
      <c r="B13" s="46">
        <v>1.414E-2</v>
      </c>
      <c r="C13" s="39">
        <f t="shared" si="0"/>
        <v>-1.6005567153792644E-2</v>
      </c>
    </row>
    <row r="14" spans="1:3" x14ac:dyDescent="0.25">
      <c r="A14" s="45">
        <v>1962</v>
      </c>
      <c r="B14" s="46">
        <v>1.4735E-2</v>
      </c>
      <c r="C14" s="39">
        <f t="shared" si="0"/>
        <v>4.2079207920792117E-2</v>
      </c>
    </row>
    <row r="15" spans="1:3" x14ac:dyDescent="0.25">
      <c r="A15" s="45">
        <v>1963</v>
      </c>
      <c r="B15" s="46">
        <v>2.1010000000000001E-2</v>
      </c>
      <c r="C15" s="39">
        <f t="shared" si="0"/>
        <v>0.42585680352901267</v>
      </c>
    </row>
    <row r="16" spans="1:3" x14ac:dyDescent="0.25">
      <c r="A16" s="45">
        <v>1964</v>
      </c>
      <c r="B16" s="46">
        <v>2.9569999999999999E-2</v>
      </c>
      <c r="C16" s="39">
        <f t="shared" si="0"/>
        <v>0.40742503569728683</v>
      </c>
    </row>
    <row r="17" spans="1:3" x14ac:dyDescent="0.25">
      <c r="A17" s="45">
        <v>1965</v>
      </c>
      <c r="B17" s="46">
        <v>4.1169999999999998E-2</v>
      </c>
      <c r="C17" s="39">
        <f t="shared" si="0"/>
        <v>0.39228948258369978</v>
      </c>
    </row>
    <row r="18" spans="1:3" x14ac:dyDescent="0.25">
      <c r="A18" s="45">
        <v>1966</v>
      </c>
      <c r="B18" s="46">
        <v>5.2370000000000007E-2</v>
      </c>
      <c r="C18" s="39">
        <f t="shared" si="0"/>
        <v>0.27204274957493335</v>
      </c>
    </row>
    <row r="19" spans="1:3" x14ac:dyDescent="0.25">
      <c r="A19" s="45">
        <v>1967</v>
      </c>
      <c r="B19" s="46">
        <v>7.4029999999999999E-2</v>
      </c>
      <c r="C19" s="39">
        <f t="shared" si="0"/>
        <v>0.41359556998281444</v>
      </c>
    </row>
    <row r="20" spans="1:3" x14ac:dyDescent="0.25">
      <c r="A20" s="45">
        <v>1968</v>
      </c>
      <c r="B20" s="46">
        <v>8.3659999999999998E-2</v>
      </c>
      <c r="C20" s="39">
        <f t="shared" si="0"/>
        <v>0.13008239902742136</v>
      </c>
    </row>
    <row r="21" spans="1:3" x14ac:dyDescent="0.25">
      <c r="A21" s="45">
        <v>1969</v>
      </c>
      <c r="B21" s="46">
        <v>8.4409999999999999E-2</v>
      </c>
      <c r="C21" s="39">
        <f t="shared" si="0"/>
        <v>8.964857757590261E-3</v>
      </c>
    </row>
    <row r="22" spans="1:3" x14ac:dyDescent="0.25">
      <c r="A22" s="43">
        <v>1970</v>
      </c>
      <c r="B22" s="47">
        <v>0.10105</v>
      </c>
      <c r="C22" s="39">
        <f t="shared" si="0"/>
        <v>0.19713304110887342</v>
      </c>
    </row>
    <row r="23" spans="1:3" x14ac:dyDescent="0.25">
      <c r="A23" s="45">
        <v>1971</v>
      </c>
      <c r="B23" s="47">
        <v>0.12978999999999999</v>
      </c>
      <c r="C23" s="39">
        <f t="shared" si="0"/>
        <v>0.28441365660564055</v>
      </c>
    </row>
    <row r="24" spans="1:3" x14ac:dyDescent="0.25">
      <c r="A24" s="45">
        <v>1972</v>
      </c>
      <c r="B24" s="47">
        <v>0.18565999999999999</v>
      </c>
      <c r="C24" s="39">
        <f t="shared" si="0"/>
        <v>0.4304645966561369</v>
      </c>
    </row>
    <row r="25" spans="1:3" x14ac:dyDescent="0.25">
      <c r="A25" s="45">
        <v>1973</v>
      </c>
      <c r="B25" s="47">
        <v>0.45129000000000002</v>
      </c>
      <c r="C25" s="39">
        <f t="shared" si="0"/>
        <v>1.4307335990520307</v>
      </c>
    </row>
    <row r="26" spans="1:3" x14ac:dyDescent="0.25">
      <c r="A26" s="45">
        <v>1974</v>
      </c>
      <c r="B26" s="47">
        <v>0.71799999999999997</v>
      </c>
      <c r="C26" s="39">
        <f t="shared" si="0"/>
        <v>0.59099470407055321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Tossolini</dc:creator>
  <cp:lastModifiedBy>Lucas Tossolini</cp:lastModifiedBy>
  <dcterms:created xsi:type="dcterms:W3CDTF">2018-10-18T11:21:04Z</dcterms:created>
  <dcterms:modified xsi:type="dcterms:W3CDTF">2018-10-18T16:24:32Z</dcterms:modified>
</cp:coreProperties>
</file>