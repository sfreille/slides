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t\Dropbox\HEAnuevo\Cátedra\presentaciones nuevas\"/>
    </mc:Choice>
  </mc:AlternateContent>
  <xr:revisionPtr revIDLastSave="0" documentId="13_ncr:40009_{FFB8613D-BD25-425C-BAE1-5A2CEA2EB5EA}" xr6:coauthVersionLast="38" xr6:coauthVersionMax="38" xr10:uidLastSave="{00000000-0000-0000-0000-000000000000}"/>
  <bookViews>
    <workbookView xWindow="0" yWindow="0" windowWidth="20490" windowHeight="6285" activeTab="1"/>
  </bookViews>
  <sheets>
    <sheet name="388.2" sheetId="1" r:id="rId1"/>
    <sheet name="Hoja1" sheetId="2" r:id="rId2"/>
  </sheets>
  <calcPr calcId="0"/>
</workbook>
</file>

<file path=xl/calcChain.xml><?xml version="1.0" encoding="utf-8"?>
<calcChain xmlns="http://schemas.openxmlformats.org/spreadsheetml/2006/main">
  <c r="E244" i="2" l="1"/>
  <c r="F244" i="2"/>
  <c r="E245" i="2"/>
  <c r="F245" i="2"/>
  <c r="I245" i="2" s="1"/>
  <c r="E246" i="2"/>
  <c r="F246" i="2"/>
  <c r="E247" i="2"/>
  <c r="F247" i="2"/>
  <c r="I247" i="2" s="1"/>
  <c r="E248" i="2"/>
  <c r="F248" i="2"/>
  <c r="E249" i="2"/>
  <c r="F249" i="2"/>
  <c r="I249" i="2" s="1"/>
  <c r="E250" i="2"/>
  <c r="F250" i="2"/>
  <c r="E251" i="2"/>
  <c r="F251" i="2"/>
  <c r="E252" i="2"/>
  <c r="F252" i="2"/>
  <c r="E253" i="2"/>
  <c r="F253" i="2"/>
  <c r="I253" i="2" s="1"/>
  <c r="E254" i="2"/>
  <c r="F254" i="2"/>
  <c r="E255" i="2"/>
  <c r="F255" i="2"/>
  <c r="I255" i="2" s="1"/>
  <c r="H246" i="2"/>
  <c r="I246" i="2"/>
  <c r="H248" i="2"/>
  <c r="I248" i="2"/>
  <c r="I250" i="2"/>
  <c r="H254" i="2"/>
  <c r="I254" i="2"/>
  <c r="H244" i="2"/>
  <c r="I251" i="2"/>
  <c r="E161" i="2"/>
  <c r="F161" i="2"/>
  <c r="E162" i="2"/>
  <c r="F162" i="2"/>
  <c r="I162" i="2" s="1"/>
  <c r="E163" i="2"/>
  <c r="F163" i="2"/>
  <c r="E164" i="2"/>
  <c r="F164" i="2"/>
  <c r="E165" i="2"/>
  <c r="F165" i="2"/>
  <c r="E166" i="2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F239" i="2"/>
  <c r="E240" i="2"/>
  <c r="F240" i="2"/>
  <c r="E241" i="2"/>
  <c r="F241" i="2"/>
  <c r="E242" i="2"/>
  <c r="F242" i="2"/>
  <c r="E243" i="2"/>
  <c r="F243" i="2"/>
  <c r="F160" i="2"/>
  <c r="E160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H93" i="2"/>
  <c r="I93" i="2"/>
  <c r="H94" i="2"/>
  <c r="I94" i="2"/>
  <c r="H95" i="2"/>
  <c r="I95" i="2"/>
  <c r="H96" i="2"/>
  <c r="I96" i="2"/>
  <c r="H97" i="2"/>
  <c r="I97" i="2"/>
  <c r="H98" i="2"/>
  <c r="I98" i="2"/>
  <c r="H99" i="2"/>
  <c r="I99" i="2"/>
  <c r="H100" i="2"/>
  <c r="I100" i="2"/>
  <c r="H101" i="2"/>
  <c r="I101" i="2"/>
  <c r="H102" i="2"/>
  <c r="I102" i="2"/>
  <c r="H103" i="2"/>
  <c r="I103" i="2"/>
  <c r="H104" i="2"/>
  <c r="I104" i="2"/>
  <c r="H105" i="2"/>
  <c r="I105" i="2"/>
  <c r="H106" i="2"/>
  <c r="I106" i="2"/>
  <c r="H107" i="2"/>
  <c r="I107" i="2"/>
  <c r="H108" i="2"/>
  <c r="I108" i="2"/>
  <c r="H109" i="2"/>
  <c r="I109" i="2"/>
  <c r="H110" i="2"/>
  <c r="I110" i="2"/>
  <c r="H111" i="2"/>
  <c r="I111" i="2"/>
  <c r="H112" i="2"/>
  <c r="I112" i="2"/>
  <c r="H113" i="2"/>
  <c r="I113" i="2"/>
  <c r="H114" i="2"/>
  <c r="I114" i="2"/>
  <c r="H115" i="2"/>
  <c r="I115" i="2"/>
  <c r="H116" i="2"/>
  <c r="I116" i="2"/>
  <c r="H117" i="2"/>
  <c r="I117" i="2"/>
  <c r="H118" i="2"/>
  <c r="I118" i="2"/>
  <c r="H119" i="2"/>
  <c r="I119" i="2"/>
  <c r="H120" i="2"/>
  <c r="I120" i="2"/>
  <c r="H121" i="2"/>
  <c r="I121" i="2"/>
  <c r="H122" i="2"/>
  <c r="I122" i="2"/>
  <c r="H123" i="2"/>
  <c r="I123" i="2"/>
  <c r="H124" i="2"/>
  <c r="I124" i="2"/>
  <c r="H125" i="2"/>
  <c r="I125" i="2"/>
  <c r="H126" i="2"/>
  <c r="I126" i="2"/>
  <c r="H127" i="2"/>
  <c r="I127" i="2"/>
  <c r="H128" i="2"/>
  <c r="I128" i="2"/>
  <c r="H129" i="2"/>
  <c r="I129" i="2"/>
  <c r="H130" i="2"/>
  <c r="I130" i="2"/>
  <c r="H131" i="2"/>
  <c r="I131" i="2"/>
  <c r="H132" i="2"/>
  <c r="I132" i="2"/>
  <c r="H133" i="2"/>
  <c r="I133" i="2"/>
  <c r="H134" i="2"/>
  <c r="I134" i="2"/>
  <c r="H135" i="2"/>
  <c r="I135" i="2"/>
  <c r="H136" i="2"/>
  <c r="I136" i="2"/>
  <c r="H137" i="2"/>
  <c r="I137" i="2"/>
  <c r="H138" i="2"/>
  <c r="I138" i="2"/>
  <c r="H139" i="2"/>
  <c r="I139" i="2"/>
  <c r="H140" i="2"/>
  <c r="I140" i="2"/>
  <c r="H141" i="2"/>
  <c r="I141" i="2"/>
  <c r="H142" i="2"/>
  <c r="I142" i="2"/>
  <c r="H143" i="2"/>
  <c r="I143" i="2"/>
  <c r="H144" i="2"/>
  <c r="I144" i="2"/>
  <c r="H145" i="2"/>
  <c r="I145" i="2"/>
  <c r="H146" i="2"/>
  <c r="I146" i="2"/>
  <c r="H147" i="2"/>
  <c r="I147" i="2"/>
  <c r="H148" i="2"/>
  <c r="I148" i="2"/>
  <c r="H149" i="2"/>
  <c r="I149" i="2"/>
  <c r="H150" i="2"/>
  <c r="I150" i="2"/>
  <c r="H151" i="2"/>
  <c r="I151" i="2"/>
  <c r="H152" i="2"/>
  <c r="I152" i="2"/>
  <c r="H153" i="2"/>
  <c r="I153" i="2"/>
  <c r="H154" i="2"/>
  <c r="I154" i="2"/>
  <c r="H155" i="2"/>
  <c r="I155" i="2"/>
  <c r="H156" i="2"/>
  <c r="I156" i="2"/>
  <c r="H157" i="2"/>
  <c r="I157" i="2"/>
  <c r="H158" i="2"/>
  <c r="I158" i="2"/>
  <c r="H159" i="2"/>
  <c r="I159" i="2"/>
  <c r="H160" i="2"/>
  <c r="I160" i="2"/>
  <c r="H161" i="2"/>
  <c r="I161" i="2"/>
  <c r="H162" i="2"/>
  <c r="H163" i="2"/>
  <c r="I163" i="2"/>
  <c r="H164" i="2"/>
  <c r="I164" i="2"/>
  <c r="H165" i="2"/>
  <c r="I165" i="2"/>
  <c r="H166" i="2"/>
  <c r="I166" i="2"/>
  <c r="H167" i="2"/>
  <c r="I167" i="2"/>
  <c r="H168" i="2"/>
  <c r="I168" i="2"/>
  <c r="H169" i="2"/>
  <c r="I169" i="2"/>
  <c r="H170" i="2"/>
  <c r="I170" i="2"/>
  <c r="H171" i="2"/>
  <c r="I171" i="2"/>
  <c r="H172" i="2"/>
  <c r="I172" i="2"/>
  <c r="H173" i="2"/>
  <c r="I173" i="2"/>
  <c r="H174" i="2"/>
  <c r="I174" i="2"/>
  <c r="H175" i="2"/>
  <c r="I175" i="2"/>
  <c r="H176" i="2"/>
  <c r="I176" i="2"/>
  <c r="H177" i="2"/>
  <c r="I177" i="2"/>
  <c r="H178" i="2"/>
  <c r="I178" i="2"/>
  <c r="H179" i="2"/>
  <c r="I179" i="2"/>
  <c r="H180" i="2"/>
  <c r="I180" i="2"/>
  <c r="H181" i="2"/>
  <c r="I181" i="2"/>
  <c r="H182" i="2"/>
  <c r="I182" i="2"/>
  <c r="H183" i="2"/>
  <c r="I183" i="2"/>
  <c r="H184" i="2"/>
  <c r="I184" i="2"/>
  <c r="H185" i="2"/>
  <c r="I185" i="2"/>
  <c r="H186" i="2"/>
  <c r="I186" i="2"/>
  <c r="H187" i="2"/>
  <c r="I187" i="2"/>
  <c r="H188" i="2"/>
  <c r="I188" i="2"/>
  <c r="H189" i="2"/>
  <c r="I189" i="2"/>
  <c r="H190" i="2"/>
  <c r="I190" i="2"/>
  <c r="H191" i="2"/>
  <c r="I191" i="2"/>
  <c r="H192" i="2"/>
  <c r="I192" i="2"/>
  <c r="H193" i="2"/>
  <c r="I193" i="2"/>
  <c r="H194" i="2"/>
  <c r="I194" i="2"/>
  <c r="H195" i="2"/>
  <c r="I195" i="2"/>
  <c r="H196" i="2"/>
  <c r="I196" i="2"/>
  <c r="H197" i="2"/>
  <c r="I197" i="2"/>
  <c r="H198" i="2"/>
  <c r="I198" i="2"/>
  <c r="H199" i="2"/>
  <c r="I199" i="2"/>
  <c r="H200" i="2"/>
  <c r="I200" i="2"/>
  <c r="H201" i="2"/>
  <c r="I201" i="2"/>
  <c r="H202" i="2"/>
  <c r="I202" i="2"/>
  <c r="H203" i="2"/>
  <c r="I203" i="2"/>
  <c r="H204" i="2"/>
  <c r="I204" i="2"/>
  <c r="H205" i="2"/>
  <c r="I205" i="2"/>
  <c r="H206" i="2"/>
  <c r="I206" i="2"/>
  <c r="H207" i="2"/>
  <c r="I207" i="2"/>
  <c r="H208" i="2"/>
  <c r="I208" i="2"/>
  <c r="H209" i="2"/>
  <c r="I209" i="2"/>
  <c r="H210" i="2"/>
  <c r="I210" i="2"/>
  <c r="H211" i="2"/>
  <c r="I211" i="2"/>
  <c r="H212" i="2"/>
  <c r="I212" i="2"/>
  <c r="H213" i="2"/>
  <c r="I213" i="2"/>
  <c r="H214" i="2"/>
  <c r="I214" i="2"/>
  <c r="H215" i="2"/>
  <c r="I215" i="2"/>
  <c r="H216" i="2"/>
  <c r="I216" i="2"/>
  <c r="H217" i="2"/>
  <c r="I217" i="2"/>
  <c r="H218" i="2"/>
  <c r="I218" i="2"/>
  <c r="H219" i="2"/>
  <c r="I219" i="2"/>
  <c r="H220" i="2"/>
  <c r="I220" i="2"/>
  <c r="H221" i="2"/>
  <c r="I221" i="2"/>
  <c r="H222" i="2"/>
  <c r="I222" i="2"/>
  <c r="H223" i="2"/>
  <c r="I223" i="2"/>
  <c r="H224" i="2"/>
  <c r="I224" i="2"/>
  <c r="H225" i="2"/>
  <c r="I225" i="2"/>
  <c r="H226" i="2"/>
  <c r="I226" i="2"/>
  <c r="H227" i="2"/>
  <c r="I227" i="2"/>
  <c r="H228" i="2"/>
  <c r="I228" i="2"/>
  <c r="H229" i="2"/>
  <c r="I229" i="2"/>
  <c r="H230" i="2"/>
  <c r="I230" i="2"/>
  <c r="H231" i="2"/>
  <c r="I231" i="2"/>
  <c r="H232" i="2"/>
  <c r="I232" i="2"/>
  <c r="H233" i="2"/>
  <c r="I233" i="2"/>
  <c r="H234" i="2"/>
  <c r="I234" i="2"/>
  <c r="H235" i="2"/>
  <c r="I235" i="2"/>
  <c r="H236" i="2"/>
  <c r="I236" i="2"/>
  <c r="H237" i="2"/>
  <c r="I237" i="2"/>
  <c r="H238" i="2"/>
  <c r="I238" i="2"/>
  <c r="H239" i="2"/>
  <c r="I239" i="2"/>
  <c r="H240" i="2"/>
  <c r="I240" i="2"/>
  <c r="H241" i="2"/>
  <c r="I241" i="2"/>
  <c r="H242" i="2"/>
  <c r="I242" i="2"/>
  <c r="H243" i="2"/>
  <c r="I243" i="2"/>
  <c r="I244" i="2"/>
  <c r="H245" i="2"/>
  <c r="H247" i="2"/>
  <c r="H249" i="2"/>
  <c r="H250" i="2"/>
  <c r="H251" i="2"/>
  <c r="H252" i="2"/>
  <c r="I252" i="2"/>
  <c r="H253" i="2"/>
  <c r="H255" i="2"/>
  <c r="I4" i="2"/>
  <c r="H4" i="2"/>
  <c r="E147" i="2"/>
  <c r="F123" i="2" l="1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22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93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4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E6" i="1"/>
  <c r="D6" i="1"/>
  <c r="C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6" i="1"/>
</calcChain>
</file>

<file path=xl/sharedStrings.xml><?xml version="1.0" encoding="utf-8"?>
<sst xmlns="http://schemas.openxmlformats.org/spreadsheetml/2006/main" count="32" uniqueCount="32">
  <si>
    <t>indice_tiempo</t>
  </si>
  <si>
    <t>pib_agric_caza_silv_pes</t>
  </si>
  <si>
    <t>pib_agric_caza</t>
  </si>
  <si>
    <t>pib_agric_subtotal_agricola</t>
  </si>
  <si>
    <t>pib_agric_subtotal_pecuario</t>
  </si>
  <si>
    <t>pib_agric_caza_1</t>
  </si>
  <si>
    <t>pib_agric_const_agrop</t>
  </si>
  <si>
    <t>pib_agric_silv_extracc_mad</t>
  </si>
  <si>
    <t>pib_agric_pesca</t>
  </si>
  <si>
    <t>pib_construcciones</t>
  </si>
  <si>
    <t>pib_construcciones_obras_privadas</t>
  </si>
  <si>
    <t>pib_construcciones_obras_publicas</t>
  </si>
  <si>
    <t>pib_ind_manuf</t>
  </si>
  <si>
    <t>pib_ind_manuf_alim_beb_tab</t>
  </si>
  <si>
    <t>pib_ind_manuf_tex_vest_cuer</t>
  </si>
  <si>
    <t>pib_ind_manuf_mad_muebles</t>
  </si>
  <si>
    <t>pib_ind_manuf_papel_imprenta_edit</t>
  </si>
  <si>
    <t>pib_ind_manuf_quimicos_otros</t>
  </si>
  <si>
    <t>pib_ind_manuf_mine_no_met</t>
  </si>
  <si>
    <t>pib_ind_manuf_metal_basicas</t>
  </si>
  <si>
    <t>pib_ind_manuf_maq_equipos</t>
  </si>
  <si>
    <t>pib_com_mayor_menor_rest_hoteles</t>
  </si>
  <si>
    <t>pib_com_mayor</t>
  </si>
  <si>
    <t>pib_com_menor</t>
  </si>
  <si>
    <t>pib_com_restaurantes_hoteles</t>
  </si>
  <si>
    <t>Agro</t>
  </si>
  <si>
    <t>Constr</t>
  </si>
  <si>
    <t>manuf</t>
  </si>
  <si>
    <t>comer</t>
  </si>
  <si>
    <t>Sector Oficial</t>
  </si>
  <si>
    <t>Bancos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</si>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</sst>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-* #,##0.00_-;\-* #,##0.00_-;_-* &quot;-&quot;??_-;_-@_-"/>
    <numFmt numFmtId="164" formatCode="0.00000000000000"/>
    <numFmt numFmtId="165" formatCode="0.0000000000000"/>
    <numFmt numFmtId="166" formatCode="0.000000000000"/>
    <numFmt numFmtId="167" formatCode="0.0000000000"/>
    <numFmt numFmtId="168" formatCode="0.000000000"/>
    <numFmt numFmtId="169" formatCode="0.00000000"/>
    <numFmt numFmtId="170" formatCode="0.0000000"/>
    <numFmt numFmtId="171" formatCode="0.000000"/>
    <numFmt numFmtId="172" formatCode="0.0000"/>
    <numFmt numFmtId="174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sz val="10"/>
      <name val="Arial"/>
    </font>
    <font>
      <sz val="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3" borderId="0" xfId="0" applyFill="1"/>
    <xf numFmtId="9" fontId="0" fillId="0" borderId="0" xfId="2" applyFont="1"/>
    <xf numFmtId="3" fontId="19" fillId="34" borderId="0" xfId="44" applyNumberFormat="1" applyFont="1" applyFill="1"/>
    <xf numFmtId="17" fontId="0" fillId="0" borderId="0" xfId="0" applyNumberFormat="1"/>
    <xf numFmtId="3" fontId="0" fillId="0" borderId="0" xfId="0" applyNumberFormat="1"/>
    <xf numFmtId="164" fontId="20" fillId="35" borderId="0" xfId="0" applyNumberFormat="1" applyFont="1" applyFill="1"/>
    <xf numFmtId="164" fontId="20" fillId="36" borderId="0" xfId="0" applyNumberFormat="1" applyFont="1" applyFill="1"/>
    <xf numFmtId="165" fontId="20" fillId="36" borderId="0" xfId="0" applyNumberFormat="1" applyFont="1" applyFill="1"/>
    <xf numFmtId="165" fontId="20" fillId="37" borderId="0" xfId="0" applyNumberFormat="1" applyFont="1" applyFill="1"/>
    <xf numFmtId="166" fontId="20" fillId="37" borderId="0" xfId="0" applyNumberFormat="1" applyFont="1" applyFill="1"/>
    <xf numFmtId="167" fontId="20" fillId="37" borderId="0" xfId="0" applyNumberFormat="1" applyFont="1" applyFill="1"/>
    <xf numFmtId="167" fontId="20" fillId="0" borderId="0" xfId="0" applyNumberFormat="1" applyFont="1"/>
    <xf numFmtId="168" fontId="20" fillId="0" borderId="0" xfId="0" applyNumberFormat="1" applyFont="1"/>
    <xf numFmtId="169" fontId="20" fillId="0" borderId="0" xfId="0" applyNumberFormat="1" applyFont="1"/>
    <xf numFmtId="170" fontId="20" fillId="0" borderId="0" xfId="0" applyNumberFormat="1" applyFont="1"/>
    <xf numFmtId="171" fontId="20" fillId="0" borderId="0" xfId="0" applyNumberFormat="1" applyFont="1"/>
    <xf numFmtId="172" fontId="20" fillId="0" borderId="0" xfId="0" applyNumberFormat="1" applyFont="1"/>
    <xf numFmtId="174" fontId="0" fillId="0" borderId="0" xfId="1" applyNumberFormat="1" applyFont="1"/>
  </cellXfs>
  <cellStyles count="45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ambiar to&amp;do" xfId="44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'388.2'!$F$1</c:f>
              <c:strCache>
                <c:ptCount val="1"/>
                <c:pt idx="0">
                  <c:v>pib_agric_caza_silv_pes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'388.2'!$A$2:$A$45</c:f>
              <c:numCache>
                <c:formatCode>m/d/yyyy</c:formatCode>
                <c:ptCount val="44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26299</c:v>
                </c:pt>
                <c:pt idx="9">
                  <c:v>26390</c:v>
                </c:pt>
                <c:pt idx="10">
                  <c:v>26481</c:v>
                </c:pt>
                <c:pt idx="11">
                  <c:v>26573</c:v>
                </c:pt>
                <c:pt idx="12">
                  <c:v>26665</c:v>
                </c:pt>
                <c:pt idx="13">
                  <c:v>26755</c:v>
                </c:pt>
                <c:pt idx="14">
                  <c:v>26846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28126</c:v>
                </c:pt>
                <c:pt idx="29">
                  <c:v>28216</c:v>
                </c:pt>
                <c:pt idx="30">
                  <c:v>28307</c:v>
                </c:pt>
                <c:pt idx="31">
                  <c:v>28399</c:v>
                </c:pt>
                <c:pt idx="32">
                  <c:v>28491</c:v>
                </c:pt>
                <c:pt idx="33">
                  <c:v>28581</c:v>
                </c:pt>
                <c:pt idx="34">
                  <c:v>28672</c:v>
                </c:pt>
                <c:pt idx="35">
                  <c:v>28764</c:v>
                </c:pt>
                <c:pt idx="36">
                  <c:v>28856</c:v>
                </c:pt>
                <c:pt idx="37">
                  <c:v>28946</c:v>
                </c:pt>
                <c:pt idx="38">
                  <c:v>29037</c:v>
                </c:pt>
                <c:pt idx="39">
                  <c:v>29129</c:v>
                </c:pt>
                <c:pt idx="40">
                  <c:v>29221</c:v>
                </c:pt>
                <c:pt idx="41">
                  <c:v>29312</c:v>
                </c:pt>
                <c:pt idx="42">
                  <c:v>29403</c:v>
                </c:pt>
                <c:pt idx="43">
                  <c:v>29495</c:v>
                </c:pt>
              </c:numCache>
            </c:numRef>
          </c:cat>
          <c:val>
            <c:numRef>
              <c:f>'388.2'!$F$2:$F$45</c:f>
              <c:numCache>
                <c:formatCode>General</c:formatCode>
                <c:ptCount val="44"/>
                <c:pt idx="0">
                  <c:v>1574</c:v>
                </c:pt>
                <c:pt idx="1">
                  <c:v>1971</c:v>
                </c:pt>
                <c:pt idx="2">
                  <c:v>1757</c:v>
                </c:pt>
                <c:pt idx="3">
                  <c:v>1580</c:v>
                </c:pt>
                <c:pt idx="4">
                  <c:v>1553</c:v>
                </c:pt>
                <c:pt idx="5">
                  <c:v>1924</c:v>
                </c:pt>
                <c:pt idx="6">
                  <c:v>1776</c:v>
                </c:pt>
                <c:pt idx="7">
                  <c:v>1618</c:v>
                </c:pt>
                <c:pt idx="8">
                  <c:v>1611</c:v>
                </c:pt>
                <c:pt idx="9">
                  <c:v>1813</c:v>
                </c:pt>
                <c:pt idx="10">
                  <c:v>1874</c:v>
                </c:pt>
                <c:pt idx="11">
                  <c:v>1666</c:v>
                </c:pt>
                <c:pt idx="12">
                  <c:v>1719</c:v>
                </c:pt>
                <c:pt idx="13">
                  <c:v>2131</c:v>
                </c:pt>
                <c:pt idx="14">
                  <c:v>1998</c:v>
                </c:pt>
                <c:pt idx="15">
                  <c:v>1827</c:v>
                </c:pt>
                <c:pt idx="16">
                  <c:v>1879</c:v>
                </c:pt>
                <c:pt idx="17">
                  <c:v>2233</c:v>
                </c:pt>
                <c:pt idx="18">
                  <c:v>2069</c:v>
                </c:pt>
                <c:pt idx="19">
                  <c:v>1833</c:v>
                </c:pt>
                <c:pt idx="20">
                  <c:v>1866</c:v>
                </c:pt>
                <c:pt idx="21">
                  <c:v>2123</c:v>
                </c:pt>
                <c:pt idx="22">
                  <c:v>2076</c:v>
                </c:pt>
                <c:pt idx="23">
                  <c:v>1826</c:v>
                </c:pt>
                <c:pt idx="24">
                  <c:v>2020</c:v>
                </c:pt>
                <c:pt idx="25">
                  <c:v>2115</c:v>
                </c:pt>
                <c:pt idx="26">
                  <c:v>2139</c:v>
                </c:pt>
                <c:pt idx="27">
                  <c:v>1933</c:v>
                </c:pt>
                <c:pt idx="28">
                  <c:v>1987</c:v>
                </c:pt>
                <c:pt idx="29">
                  <c:v>2307</c:v>
                </c:pt>
                <c:pt idx="30">
                  <c:v>2143</c:v>
                </c:pt>
                <c:pt idx="31">
                  <c:v>1873</c:v>
                </c:pt>
                <c:pt idx="32">
                  <c:v>2063</c:v>
                </c:pt>
                <c:pt idx="33">
                  <c:v>2324</c:v>
                </c:pt>
                <c:pt idx="34">
                  <c:v>2153</c:v>
                </c:pt>
                <c:pt idx="35">
                  <c:v>1914</c:v>
                </c:pt>
                <c:pt idx="36">
                  <c:v>2311</c:v>
                </c:pt>
                <c:pt idx="37">
                  <c:v>2351</c:v>
                </c:pt>
                <c:pt idx="38">
                  <c:v>2150</c:v>
                </c:pt>
                <c:pt idx="39">
                  <c:v>1993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B-418C-AF96-A2C1EDECAF99}"/>
            </c:ext>
          </c:extLst>
        </c:ser>
        <c:ser>
          <c:idx val="1"/>
          <c:order val="1"/>
          <c:tx>
            <c:strRef>
              <c:f>'388.2'!$N$1</c:f>
              <c:strCache>
                <c:ptCount val="1"/>
                <c:pt idx="0">
                  <c:v>pib_construcciones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'388.2'!$A$2:$A$45</c:f>
              <c:numCache>
                <c:formatCode>m/d/yyyy</c:formatCode>
                <c:ptCount val="44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26299</c:v>
                </c:pt>
                <c:pt idx="9">
                  <c:v>26390</c:v>
                </c:pt>
                <c:pt idx="10">
                  <c:v>26481</c:v>
                </c:pt>
                <c:pt idx="11">
                  <c:v>26573</c:v>
                </c:pt>
                <c:pt idx="12">
                  <c:v>26665</c:v>
                </c:pt>
                <c:pt idx="13">
                  <c:v>26755</c:v>
                </c:pt>
                <c:pt idx="14">
                  <c:v>26846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28126</c:v>
                </c:pt>
                <c:pt idx="29">
                  <c:v>28216</c:v>
                </c:pt>
                <c:pt idx="30">
                  <c:v>28307</c:v>
                </c:pt>
                <c:pt idx="31">
                  <c:v>28399</c:v>
                </c:pt>
                <c:pt idx="32">
                  <c:v>28491</c:v>
                </c:pt>
                <c:pt idx="33">
                  <c:v>28581</c:v>
                </c:pt>
                <c:pt idx="34">
                  <c:v>28672</c:v>
                </c:pt>
                <c:pt idx="35">
                  <c:v>28764</c:v>
                </c:pt>
                <c:pt idx="36">
                  <c:v>28856</c:v>
                </c:pt>
                <c:pt idx="37">
                  <c:v>28946</c:v>
                </c:pt>
                <c:pt idx="38">
                  <c:v>29037</c:v>
                </c:pt>
                <c:pt idx="39">
                  <c:v>29129</c:v>
                </c:pt>
                <c:pt idx="40">
                  <c:v>29221</c:v>
                </c:pt>
                <c:pt idx="41">
                  <c:v>29312</c:v>
                </c:pt>
                <c:pt idx="42">
                  <c:v>29403</c:v>
                </c:pt>
                <c:pt idx="43">
                  <c:v>29495</c:v>
                </c:pt>
              </c:numCache>
            </c:numRef>
          </c:cat>
          <c:val>
            <c:numRef>
              <c:f>'388.2'!$N$2:$N$45</c:f>
              <c:numCache>
                <c:formatCode>General</c:formatCode>
                <c:ptCount val="44"/>
                <c:pt idx="0">
                  <c:v>4841</c:v>
                </c:pt>
                <c:pt idx="1">
                  <c:v>5056</c:v>
                </c:pt>
                <c:pt idx="2">
                  <c:v>4703</c:v>
                </c:pt>
                <c:pt idx="3">
                  <c:v>5502</c:v>
                </c:pt>
                <c:pt idx="4">
                  <c:v>4987</c:v>
                </c:pt>
                <c:pt idx="5">
                  <c:v>5757</c:v>
                </c:pt>
                <c:pt idx="6">
                  <c:v>5190</c:v>
                </c:pt>
                <c:pt idx="7">
                  <c:v>5436</c:v>
                </c:pt>
                <c:pt idx="8">
                  <c:v>4515</c:v>
                </c:pt>
                <c:pt idx="9">
                  <c:v>5212</c:v>
                </c:pt>
                <c:pt idx="10">
                  <c:v>5075</c:v>
                </c:pt>
                <c:pt idx="11">
                  <c:v>6364</c:v>
                </c:pt>
                <c:pt idx="12">
                  <c:v>4773</c:v>
                </c:pt>
                <c:pt idx="13">
                  <c:v>4436</c:v>
                </c:pt>
                <c:pt idx="14">
                  <c:v>4062</c:v>
                </c:pt>
                <c:pt idx="15">
                  <c:v>5414</c:v>
                </c:pt>
                <c:pt idx="16">
                  <c:v>4894</c:v>
                </c:pt>
                <c:pt idx="17">
                  <c:v>4598</c:v>
                </c:pt>
                <c:pt idx="18">
                  <c:v>4633</c:v>
                </c:pt>
                <c:pt idx="19">
                  <c:v>6041</c:v>
                </c:pt>
                <c:pt idx="20">
                  <c:v>4989</c:v>
                </c:pt>
                <c:pt idx="21">
                  <c:v>4620</c:v>
                </c:pt>
                <c:pt idx="22">
                  <c:v>4709</c:v>
                </c:pt>
                <c:pt idx="23">
                  <c:v>6772</c:v>
                </c:pt>
                <c:pt idx="24">
                  <c:v>5307</c:v>
                </c:pt>
                <c:pt idx="25">
                  <c:v>6093</c:v>
                </c:pt>
                <c:pt idx="26">
                  <c:v>6000</c:v>
                </c:pt>
                <c:pt idx="27">
                  <c:v>6334</c:v>
                </c:pt>
                <c:pt idx="28">
                  <c:v>6100</c:v>
                </c:pt>
                <c:pt idx="29">
                  <c:v>7180</c:v>
                </c:pt>
                <c:pt idx="30">
                  <c:v>6771</c:v>
                </c:pt>
                <c:pt idx="31">
                  <c:v>6889</c:v>
                </c:pt>
                <c:pt idx="32">
                  <c:v>6505</c:v>
                </c:pt>
                <c:pt idx="33">
                  <c:v>6566</c:v>
                </c:pt>
                <c:pt idx="34">
                  <c:v>6265</c:v>
                </c:pt>
                <c:pt idx="35">
                  <c:v>7036</c:v>
                </c:pt>
                <c:pt idx="36">
                  <c:v>7187</c:v>
                </c:pt>
                <c:pt idx="37">
                  <c:v>7173</c:v>
                </c:pt>
                <c:pt idx="38">
                  <c:v>6565</c:v>
                </c:pt>
                <c:pt idx="39">
                  <c:v>7188</c:v>
                </c:pt>
                <c:pt idx="40">
                  <c:v>7401</c:v>
                </c:pt>
                <c:pt idx="41">
                  <c:v>7737</c:v>
                </c:pt>
                <c:pt idx="42">
                  <c:v>7346</c:v>
                </c:pt>
                <c:pt idx="43">
                  <c:v>7852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B-418C-AF96-A2C1EDECAF99}"/>
            </c:ext>
          </c:extLst>
        </c:ser>
        <c:ser>
          <c:idx val="2"/>
          <c:order val="2"/>
          <c:tx>
            <c:strRef>
              <c:f>'388.2'!$Q$1</c:f>
              <c:strCache>
                <c:ptCount val="1"/>
                <c:pt idx="0">
                  <c:v>pib_ind_manuf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'388.2'!$A$2:$A$45</c:f>
              <c:numCache>
                <c:formatCode>m/d/yyyy</c:formatCode>
                <c:ptCount val="44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26299</c:v>
                </c:pt>
                <c:pt idx="9">
                  <c:v>26390</c:v>
                </c:pt>
                <c:pt idx="10">
                  <c:v>26481</c:v>
                </c:pt>
                <c:pt idx="11">
                  <c:v>26573</c:v>
                </c:pt>
                <c:pt idx="12">
                  <c:v>26665</c:v>
                </c:pt>
                <c:pt idx="13">
                  <c:v>26755</c:v>
                </c:pt>
                <c:pt idx="14">
                  <c:v>26846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28126</c:v>
                </c:pt>
                <c:pt idx="29">
                  <c:v>28216</c:v>
                </c:pt>
                <c:pt idx="30">
                  <c:v>28307</c:v>
                </c:pt>
                <c:pt idx="31">
                  <c:v>28399</c:v>
                </c:pt>
                <c:pt idx="32">
                  <c:v>28491</c:v>
                </c:pt>
                <c:pt idx="33">
                  <c:v>28581</c:v>
                </c:pt>
                <c:pt idx="34">
                  <c:v>28672</c:v>
                </c:pt>
                <c:pt idx="35">
                  <c:v>28764</c:v>
                </c:pt>
                <c:pt idx="36">
                  <c:v>28856</c:v>
                </c:pt>
                <c:pt idx="37">
                  <c:v>28946</c:v>
                </c:pt>
                <c:pt idx="38">
                  <c:v>29037</c:v>
                </c:pt>
                <c:pt idx="39">
                  <c:v>29129</c:v>
                </c:pt>
                <c:pt idx="40">
                  <c:v>29221</c:v>
                </c:pt>
                <c:pt idx="41">
                  <c:v>29312</c:v>
                </c:pt>
                <c:pt idx="42">
                  <c:v>29403</c:v>
                </c:pt>
                <c:pt idx="43">
                  <c:v>29495</c:v>
                </c:pt>
              </c:numCache>
            </c:numRef>
          </c:cat>
          <c:val>
            <c:numRef>
              <c:f>'388.2'!$Q$2:$Q$45</c:f>
              <c:numCache>
                <c:formatCode>General</c:formatCode>
                <c:ptCount val="44"/>
                <c:pt idx="0">
                  <c:v>4537</c:v>
                </c:pt>
                <c:pt idx="1">
                  <c:v>5084</c:v>
                </c:pt>
                <c:pt idx="2">
                  <c:v>5111</c:v>
                </c:pt>
                <c:pt idx="3">
                  <c:v>5180</c:v>
                </c:pt>
                <c:pt idx="4">
                  <c:v>4772</c:v>
                </c:pt>
                <c:pt idx="5">
                  <c:v>5432</c:v>
                </c:pt>
                <c:pt idx="6">
                  <c:v>5672</c:v>
                </c:pt>
                <c:pt idx="7">
                  <c:v>5958</c:v>
                </c:pt>
                <c:pt idx="8">
                  <c:v>5195</c:v>
                </c:pt>
                <c:pt idx="9">
                  <c:v>5844</c:v>
                </c:pt>
                <c:pt idx="10">
                  <c:v>5967</c:v>
                </c:pt>
                <c:pt idx="11">
                  <c:v>6130</c:v>
                </c:pt>
                <c:pt idx="12">
                  <c:v>5578</c:v>
                </c:pt>
                <c:pt idx="13">
                  <c:v>6230</c:v>
                </c:pt>
                <c:pt idx="14">
                  <c:v>6242</c:v>
                </c:pt>
                <c:pt idx="15">
                  <c:v>6556</c:v>
                </c:pt>
                <c:pt idx="16">
                  <c:v>5755</c:v>
                </c:pt>
                <c:pt idx="17">
                  <c:v>6687</c:v>
                </c:pt>
                <c:pt idx="18">
                  <c:v>6646</c:v>
                </c:pt>
                <c:pt idx="19">
                  <c:v>7015</c:v>
                </c:pt>
                <c:pt idx="20">
                  <c:v>5920</c:v>
                </c:pt>
                <c:pt idx="21">
                  <c:v>6783</c:v>
                </c:pt>
                <c:pt idx="22">
                  <c:v>6277</c:v>
                </c:pt>
                <c:pt idx="23">
                  <c:v>6391</c:v>
                </c:pt>
                <c:pt idx="24">
                  <c:v>5521</c:v>
                </c:pt>
                <c:pt idx="25">
                  <c:v>6354</c:v>
                </c:pt>
                <c:pt idx="26">
                  <c:v>6097</c:v>
                </c:pt>
                <c:pt idx="27">
                  <c:v>6264</c:v>
                </c:pt>
                <c:pt idx="28">
                  <c:v>5513</c:v>
                </c:pt>
                <c:pt idx="29">
                  <c:v>6503</c:v>
                </c:pt>
                <c:pt idx="30">
                  <c:v>6729</c:v>
                </c:pt>
                <c:pt idx="31">
                  <c:v>6510</c:v>
                </c:pt>
                <c:pt idx="32">
                  <c:v>4878</c:v>
                </c:pt>
                <c:pt idx="33">
                  <c:v>5936</c:v>
                </c:pt>
                <c:pt idx="34">
                  <c:v>6112</c:v>
                </c:pt>
                <c:pt idx="35">
                  <c:v>6322</c:v>
                </c:pt>
                <c:pt idx="36">
                  <c:v>5687</c:v>
                </c:pt>
                <c:pt idx="37">
                  <c:v>6704</c:v>
                </c:pt>
                <c:pt idx="38">
                  <c:v>6751</c:v>
                </c:pt>
                <c:pt idx="39">
                  <c:v>6663</c:v>
                </c:pt>
                <c:pt idx="40">
                  <c:v>5864</c:v>
                </c:pt>
                <c:pt idx="41">
                  <c:v>6243</c:v>
                </c:pt>
                <c:pt idx="42">
                  <c:v>6386</c:v>
                </c:pt>
                <c:pt idx="43">
                  <c:v>6336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3B-418C-AF96-A2C1EDECAF99}"/>
            </c:ext>
          </c:extLst>
        </c:ser>
        <c:ser>
          <c:idx val="3"/>
          <c:order val="3"/>
          <c:tx>
            <c:strRef>
              <c:f>'388.2'!$Z$1</c:f>
              <c:strCache>
                <c:ptCount val="1"/>
                <c:pt idx="0">
                  <c:v>pib_com_mayor_menor_rest_hoteles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'388.2'!$A$2:$A$45</c:f>
              <c:numCache>
                <c:formatCode>m/d/yyyy</c:formatCode>
                <c:ptCount val="44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26299</c:v>
                </c:pt>
                <c:pt idx="9">
                  <c:v>26390</c:v>
                </c:pt>
                <c:pt idx="10">
                  <c:v>26481</c:v>
                </c:pt>
                <c:pt idx="11">
                  <c:v>26573</c:v>
                </c:pt>
                <c:pt idx="12">
                  <c:v>26665</c:v>
                </c:pt>
                <c:pt idx="13">
                  <c:v>26755</c:v>
                </c:pt>
                <c:pt idx="14">
                  <c:v>26846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28126</c:v>
                </c:pt>
                <c:pt idx="29">
                  <c:v>28216</c:v>
                </c:pt>
                <c:pt idx="30">
                  <c:v>28307</c:v>
                </c:pt>
                <c:pt idx="31">
                  <c:v>28399</c:v>
                </c:pt>
                <c:pt idx="32">
                  <c:v>28491</c:v>
                </c:pt>
                <c:pt idx="33">
                  <c:v>28581</c:v>
                </c:pt>
                <c:pt idx="34">
                  <c:v>28672</c:v>
                </c:pt>
                <c:pt idx="35">
                  <c:v>28764</c:v>
                </c:pt>
                <c:pt idx="36">
                  <c:v>28856</c:v>
                </c:pt>
                <c:pt idx="37">
                  <c:v>28946</c:v>
                </c:pt>
                <c:pt idx="38">
                  <c:v>29037</c:v>
                </c:pt>
                <c:pt idx="39">
                  <c:v>29129</c:v>
                </c:pt>
                <c:pt idx="40">
                  <c:v>29221</c:v>
                </c:pt>
                <c:pt idx="41">
                  <c:v>29312</c:v>
                </c:pt>
                <c:pt idx="42">
                  <c:v>29403</c:v>
                </c:pt>
                <c:pt idx="43">
                  <c:v>29495</c:v>
                </c:pt>
              </c:numCache>
            </c:numRef>
          </c:cat>
          <c:val>
            <c:numRef>
              <c:f>'388.2'!$Z$2:$Z$45</c:f>
              <c:numCache>
                <c:formatCode>General</c:formatCode>
                <c:ptCount val="44"/>
                <c:pt idx="0">
                  <c:v>2417</c:v>
                </c:pt>
                <c:pt idx="1">
                  <c:v>2541</c:v>
                </c:pt>
                <c:pt idx="2">
                  <c:v>2514</c:v>
                </c:pt>
                <c:pt idx="3">
                  <c:v>2543</c:v>
                </c:pt>
                <c:pt idx="4">
                  <c:v>2494</c:v>
                </c:pt>
                <c:pt idx="5">
                  <c:v>2668</c:v>
                </c:pt>
                <c:pt idx="6">
                  <c:v>2740</c:v>
                </c:pt>
                <c:pt idx="7">
                  <c:v>2778</c:v>
                </c:pt>
                <c:pt idx="8">
                  <c:v>2659</c:v>
                </c:pt>
                <c:pt idx="9">
                  <c:v>2759</c:v>
                </c:pt>
                <c:pt idx="10">
                  <c:v>2785</c:v>
                </c:pt>
                <c:pt idx="11">
                  <c:v>2871</c:v>
                </c:pt>
                <c:pt idx="12">
                  <c:v>2744</c:v>
                </c:pt>
                <c:pt idx="13">
                  <c:v>2829</c:v>
                </c:pt>
                <c:pt idx="14">
                  <c:v>2760</c:v>
                </c:pt>
                <c:pt idx="15">
                  <c:v>3039</c:v>
                </c:pt>
                <c:pt idx="16">
                  <c:v>2831</c:v>
                </c:pt>
                <c:pt idx="17">
                  <c:v>3096</c:v>
                </c:pt>
                <c:pt idx="18">
                  <c:v>3040</c:v>
                </c:pt>
                <c:pt idx="19">
                  <c:v>3341</c:v>
                </c:pt>
                <c:pt idx="20">
                  <c:v>3043</c:v>
                </c:pt>
                <c:pt idx="21">
                  <c:v>3185</c:v>
                </c:pt>
                <c:pt idx="22">
                  <c:v>2937</c:v>
                </c:pt>
                <c:pt idx="23">
                  <c:v>3017</c:v>
                </c:pt>
                <c:pt idx="24">
                  <c:v>2801</c:v>
                </c:pt>
                <c:pt idx="25">
                  <c:v>2886</c:v>
                </c:pt>
                <c:pt idx="26">
                  <c:v>2862</c:v>
                </c:pt>
                <c:pt idx="27">
                  <c:v>2935</c:v>
                </c:pt>
                <c:pt idx="28">
                  <c:v>2801</c:v>
                </c:pt>
                <c:pt idx="29">
                  <c:v>2886</c:v>
                </c:pt>
                <c:pt idx="30">
                  <c:v>2862</c:v>
                </c:pt>
                <c:pt idx="31">
                  <c:v>2935</c:v>
                </c:pt>
                <c:pt idx="32">
                  <c:v>2801</c:v>
                </c:pt>
                <c:pt idx="33">
                  <c:v>2886</c:v>
                </c:pt>
                <c:pt idx="34">
                  <c:v>2862</c:v>
                </c:pt>
                <c:pt idx="35">
                  <c:v>2935</c:v>
                </c:pt>
                <c:pt idx="36">
                  <c:v>2965</c:v>
                </c:pt>
                <c:pt idx="37">
                  <c:v>3190</c:v>
                </c:pt>
                <c:pt idx="38">
                  <c:v>3277</c:v>
                </c:pt>
                <c:pt idx="39">
                  <c:v>3240</c:v>
                </c:pt>
                <c:pt idx="40">
                  <c:v>3084</c:v>
                </c:pt>
                <c:pt idx="41">
                  <c:v>3044</c:v>
                </c:pt>
                <c:pt idx="42">
                  <c:v>3243</c:v>
                </c:pt>
                <c:pt idx="43">
                  <c:v>3239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3B-418C-AF96-A2C1EDECA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103184"/>
        <c:axId val="462299792"/>
      </c:lineChart>
      <c:dateAx>
        <c:axId val="46810318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2299792"/>
        <c:crosses val="autoZero"/>
        <c:auto val="1"/>
        <c:lblOffset val="100"/>
        <c:baseTimeUnit val="months"/>
      </c:dateAx>
      <c:valAx>
        <c:axId val="46229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810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'388.2'!$B$5</c:f>
              <c:strCache>
                <c:ptCount val="1"/>
                <c:pt idx="0">
                  <c:v>Agro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'388.2'!$A$6:$A$45</c:f>
              <c:numCache>
                <c:formatCode>m/d/yyyy</c:formatCode>
                <c:ptCount val="40"/>
                <c:pt idx="0">
                  <c:v>25934</c:v>
                </c:pt>
                <c:pt idx="1">
                  <c:v>26024</c:v>
                </c:pt>
                <c:pt idx="2">
                  <c:v>26115</c:v>
                </c:pt>
                <c:pt idx="3">
                  <c:v>26207</c:v>
                </c:pt>
                <c:pt idx="4">
                  <c:v>26299</c:v>
                </c:pt>
                <c:pt idx="5">
                  <c:v>26390</c:v>
                </c:pt>
                <c:pt idx="6">
                  <c:v>26481</c:v>
                </c:pt>
                <c:pt idx="7">
                  <c:v>26573</c:v>
                </c:pt>
                <c:pt idx="8">
                  <c:v>26665</c:v>
                </c:pt>
                <c:pt idx="9">
                  <c:v>26755</c:v>
                </c:pt>
                <c:pt idx="10">
                  <c:v>26846</c:v>
                </c:pt>
                <c:pt idx="11">
                  <c:v>26938</c:v>
                </c:pt>
                <c:pt idx="12">
                  <c:v>27030</c:v>
                </c:pt>
                <c:pt idx="13">
                  <c:v>27120</c:v>
                </c:pt>
                <c:pt idx="14">
                  <c:v>27211</c:v>
                </c:pt>
                <c:pt idx="15">
                  <c:v>27303</c:v>
                </c:pt>
                <c:pt idx="16">
                  <c:v>27395</c:v>
                </c:pt>
                <c:pt idx="17">
                  <c:v>27485</c:v>
                </c:pt>
                <c:pt idx="18">
                  <c:v>27576</c:v>
                </c:pt>
                <c:pt idx="19">
                  <c:v>27668</c:v>
                </c:pt>
                <c:pt idx="20">
                  <c:v>27760</c:v>
                </c:pt>
                <c:pt idx="21">
                  <c:v>27851</c:v>
                </c:pt>
                <c:pt idx="22">
                  <c:v>27942</c:v>
                </c:pt>
                <c:pt idx="23">
                  <c:v>28034</c:v>
                </c:pt>
                <c:pt idx="24">
                  <c:v>28126</c:v>
                </c:pt>
                <c:pt idx="25">
                  <c:v>28216</c:v>
                </c:pt>
                <c:pt idx="26">
                  <c:v>28307</c:v>
                </c:pt>
                <c:pt idx="27">
                  <c:v>28399</c:v>
                </c:pt>
                <c:pt idx="28">
                  <c:v>28491</c:v>
                </c:pt>
                <c:pt idx="29">
                  <c:v>28581</c:v>
                </c:pt>
                <c:pt idx="30">
                  <c:v>28672</c:v>
                </c:pt>
                <c:pt idx="31">
                  <c:v>28764</c:v>
                </c:pt>
                <c:pt idx="32">
                  <c:v>28856</c:v>
                </c:pt>
                <c:pt idx="33">
                  <c:v>28946</c:v>
                </c:pt>
                <c:pt idx="34">
                  <c:v>29037</c:v>
                </c:pt>
                <c:pt idx="35">
                  <c:v>29129</c:v>
                </c:pt>
                <c:pt idx="36">
                  <c:v>29221</c:v>
                </c:pt>
                <c:pt idx="37">
                  <c:v>29312</c:v>
                </c:pt>
                <c:pt idx="38">
                  <c:v>29403</c:v>
                </c:pt>
                <c:pt idx="39">
                  <c:v>29495</c:v>
                </c:pt>
              </c:numCache>
            </c:numRef>
          </c:cat>
          <c:val>
            <c:numRef>
              <c:f>'388.2'!$B$6:$B$45</c:f>
              <c:numCache>
                <c:formatCode>0%</c:formatCode>
                <c:ptCount val="40"/>
                <c:pt idx="0">
                  <c:v>-1.3341804320203265E-2</c:v>
                </c:pt>
                <c:pt idx="1">
                  <c:v>-2.3845763571791023E-2</c:v>
                </c:pt>
                <c:pt idx="2">
                  <c:v>1.0813887307911108E-2</c:v>
                </c:pt>
                <c:pt idx="3">
                  <c:v>2.4050632911392311E-2</c:v>
                </c:pt>
                <c:pt idx="4">
                  <c:v>3.7347070186735332E-2</c:v>
                </c:pt>
                <c:pt idx="5">
                  <c:v>-5.7692307692307709E-2</c:v>
                </c:pt>
                <c:pt idx="6">
                  <c:v>5.5180180180180116E-2</c:v>
                </c:pt>
                <c:pt idx="7">
                  <c:v>2.9666254635352329E-2</c:v>
                </c:pt>
                <c:pt idx="8">
                  <c:v>6.7039106145251326E-2</c:v>
                </c:pt>
                <c:pt idx="9">
                  <c:v>0.17539988968560394</c:v>
                </c:pt>
                <c:pt idx="10">
                  <c:v>6.6168623265741688E-2</c:v>
                </c:pt>
                <c:pt idx="11">
                  <c:v>9.6638655462184975E-2</c:v>
                </c:pt>
                <c:pt idx="12">
                  <c:v>9.3077370564281559E-2</c:v>
                </c:pt>
                <c:pt idx="13">
                  <c:v>4.7864852182074147E-2</c:v>
                </c:pt>
                <c:pt idx="14">
                  <c:v>3.5535535535535567E-2</c:v>
                </c:pt>
                <c:pt idx="15">
                  <c:v>3.284072249589487E-3</c:v>
                </c:pt>
                <c:pt idx="16">
                  <c:v>-6.9185737094199506E-3</c:v>
                </c:pt>
                <c:pt idx="17">
                  <c:v>-4.9261083743842415E-2</c:v>
                </c:pt>
                <c:pt idx="18">
                  <c:v>3.383276945384317E-3</c:v>
                </c:pt>
                <c:pt idx="19">
                  <c:v>-3.818876159301654E-3</c:v>
                </c:pt>
                <c:pt idx="20">
                  <c:v>8.2529474812433001E-2</c:v>
                </c:pt>
                <c:pt idx="21">
                  <c:v>-3.7682524729156786E-3</c:v>
                </c:pt>
                <c:pt idx="22">
                  <c:v>3.0346820809248554E-2</c:v>
                </c:pt>
                <c:pt idx="23">
                  <c:v>5.8598028477546471E-2</c:v>
                </c:pt>
                <c:pt idx="24">
                  <c:v>-1.6336633663366351E-2</c:v>
                </c:pt>
                <c:pt idx="25">
                  <c:v>9.078014184397154E-2</c:v>
                </c:pt>
                <c:pt idx="26">
                  <c:v>1.8700327255727345E-3</c:v>
                </c:pt>
                <c:pt idx="27">
                  <c:v>-3.1039834454216209E-2</c:v>
                </c:pt>
                <c:pt idx="28">
                  <c:v>3.824861600402607E-2</c:v>
                </c:pt>
                <c:pt idx="29">
                  <c:v>7.3688773298656862E-3</c:v>
                </c:pt>
                <c:pt idx="30">
                  <c:v>4.6663555762949116E-3</c:v>
                </c:pt>
                <c:pt idx="31">
                  <c:v>2.1890016017084957E-2</c:v>
                </c:pt>
                <c:pt idx="32">
                  <c:v>0.12021328162869604</c:v>
                </c:pt>
                <c:pt idx="33">
                  <c:v>1.1617900172117057E-2</c:v>
                </c:pt>
                <c:pt idx="34">
                  <c:v>-1.3934045517881577E-3</c:v>
                </c:pt>
                <c:pt idx="35">
                  <c:v>4.1274817136886188E-2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8-4714-8FCB-93E4E7E0B195}"/>
            </c:ext>
          </c:extLst>
        </c:ser>
        <c:ser>
          <c:idx val="1"/>
          <c:order val="1"/>
          <c:tx>
            <c:strRef>
              <c:f>'388.2'!$C$5</c:f>
              <c:strCache>
                <c:ptCount val="1"/>
                <c:pt idx="0">
                  <c:v>Constr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'388.2'!$A$6:$A$45</c:f>
              <c:numCache>
                <c:formatCode>m/d/yyyy</c:formatCode>
                <c:ptCount val="40"/>
                <c:pt idx="0">
                  <c:v>25934</c:v>
                </c:pt>
                <c:pt idx="1">
                  <c:v>26024</c:v>
                </c:pt>
                <c:pt idx="2">
                  <c:v>26115</c:v>
                </c:pt>
                <c:pt idx="3">
                  <c:v>26207</c:v>
                </c:pt>
                <c:pt idx="4">
                  <c:v>26299</c:v>
                </c:pt>
                <c:pt idx="5">
                  <c:v>26390</c:v>
                </c:pt>
                <c:pt idx="6">
                  <c:v>26481</c:v>
                </c:pt>
                <c:pt idx="7">
                  <c:v>26573</c:v>
                </c:pt>
                <c:pt idx="8">
                  <c:v>26665</c:v>
                </c:pt>
                <c:pt idx="9">
                  <c:v>26755</c:v>
                </c:pt>
                <c:pt idx="10">
                  <c:v>26846</c:v>
                </c:pt>
                <c:pt idx="11">
                  <c:v>26938</c:v>
                </c:pt>
                <c:pt idx="12">
                  <c:v>27030</c:v>
                </c:pt>
                <c:pt idx="13">
                  <c:v>27120</c:v>
                </c:pt>
                <c:pt idx="14">
                  <c:v>27211</c:v>
                </c:pt>
                <c:pt idx="15">
                  <c:v>27303</c:v>
                </c:pt>
                <c:pt idx="16">
                  <c:v>27395</c:v>
                </c:pt>
                <c:pt idx="17">
                  <c:v>27485</c:v>
                </c:pt>
                <c:pt idx="18">
                  <c:v>27576</c:v>
                </c:pt>
                <c:pt idx="19">
                  <c:v>27668</c:v>
                </c:pt>
                <c:pt idx="20">
                  <c:v>27760</c:v>
                </c:pt>
                <c:pt idx="21">
                  <c:v>27851</c:v>
                </c:pt>
                <c:pt idx="22">
                  <c:v>27942</c:v>
                </c:pt>
                <c:pt idx="23">
                  <c:v>28034</c:v>
                </c:pt>
                <c:pt idx="24">
                  <c:v>28126</c:v>
                </c:pt>
                <c:pt idx="25">
                  <c:v>28216</c:v>
                </c:pt>
                <c:pt idx="26">
                  <c:v>28307</c:v>
                </c:pt>
                <c:pt idx="27">
                  <c:v>28399</c:v>
                </c:pt>
                <c:pt idx="28">
                  <c:v>28491</c:v>
                </c:pt>
                <c:pt idx="29">
                  <c:v>28581</c:v>
                </c:pt>
                <c:pt idx="30">
                  <c:v>28672</c:v>
                </c:pt>
                <c:pt idx="31">
                  <c:v>28764</c:v>
                </c:pt>
                <c:pt idx="32">
                  <c:v>28856</c:v>
                </c:pt>
                <c:pt idx="33">
                  <c:v>28946</c:v>
                </c:pt>
                <c:pt idx="34">
                  <c:v>29037</c:v>
                </c:pt>
                <c:pt idx="35">
                  <c:v>29129</c:v>
                </c:pt>
                <c:pt idx="36">
                  <c:v>29221</c:v>
                </c:pt>
                <c:pt idx="37">
                  <c:v>29312</c:v>
                </c:pt>
                <c:pt idx="38">
                  <c:v>29403</c:v>
                </c:pt>
                <c:pt idx="39">
                  <c:v>29495</c:v>
                </c:pt>
              </c:numCache>
            </c:numRef>
          </c:cat>
          <c:val>
            <c:numRef>
              <c:f>'388.2'!$C$6:$C$45</c:f>
              <c:numCache>
                <c:formatCode>0%</c:formatCode>
                <c:ptCount val="40"/>
                <c:pt idx="0">
                  <c:v>3.0159058045858389E-2</c:v>
                </c:pt>
                <c:pt idx="1">
                  <c:v>0.13864715189873422</c:v>
                </c:pt>
                <c:pt idx="2">
                  <c:v>0.10355092494152673</c:v>
                </c:pt>
                <c:pt idx="3">
                  <c:v>-1.199563794983638E-2</c:v>
                </c:pt>
                <c:pt idx="4">
                  <c:v>-9.4646079807499506E-2</c:v>
                </c:pt>
                <c:pt idx="5">
                  <c:v>-9.4667361472989375E-2</c:v>
                </c:pt>
                <c:pt idx="6">
                  <c:v>-2.2157996146435432E-2</c:v>
                </c:pt>
                <c:pt idx="7">
                  <c:v>0.17071376011773354</c:v>
                </c:pt>
                <c:pt idx="8">
                  <c:v>5.7142857142857162E-2</c:v>
                </c:pt>
                <c:pt idx="9">
                  <c:v>-0.14888718342287033</c:v>
                </c:pt>
                <c:pt idx="10">
                  <c:v>-0.19960591133004923</c:v>
                </c:pt>
                <c:pt idx="11">
                  <c:v>-0.14927718416090507</c:v>
                </c:pt>
                <c:pt idx="12">
                  <c:v>2.5350932327676601E-2</c:v>
                </c:pt>
                <c:pt idx="13">
                  <c:v>3.6519386834986456E-2</c:v>
                </c:pt>
                <c:pt idx="14">
                  <c:v>0.14057114721811925</c:v>
                </c:pt>
                <c:pt idx="15">
                  <c:v>0.11581086073143698</c:v>
                </c:pt>
                <c:pt idx="16">
                  <c:v>1.9411524315488426E-2</c:v>
                </c:pt>
                <c:pt idx="17">
                  <c:v>4.7846889952152249E-3</c:v>
                </c:pt>
                <c:pt idx="18">
                  <c:v>1.6404057845888165E-2</c:v>
                </c:pt>
                <c:pt idx="19">
                  <c:v>0.1210064558847872</c:v>
                </c:pt>
                <c:pt idx="20">
                  <c:v>6.3740228502705998E-2</c:v>
                </c:pt>
                <c:pt idx="21">
                  <c:v>0.31883116883116891</c:v>
                </c:pt>
                <c:pt idx="22">
                  <c:v>0.27415587173497569</c:v>
                </c:pt>
                <c:pt idx="23">
                  <c:v>-6.4678086237448307E-2</c:v>
                </c:pt>
                <c:pt idx="24">
                  <c:v>0.14942528735632177</c:v>
                </c:pt>
                <c:pt idx="25">
                  <c:v>0.17840144428032167</c:v>
                </c:pt>
                <c:pt idx="26">
                  <c:v>0.12850000000000006</c:v>
                </c:pt>
                <c:pt idx="27">
                  <c:v>8.7622355541521868E-2</c:v>
                </c:pt>
                <c:pt idx="28">
                  <c:v>6.6393442622950882E-2</c:v>
                </c:pt>
                <c:pt idx="29">
                  <c:v>-8.5515320334261791E-2</c:v>
                </c:pt>
                <c:pt idx="30">
                  <c:v>-7.4730468173091147E-2</c:v>
                </c:pt>
                <c:pt idx="31">
                  <c:v>2.1338365510233714E-2</c:v>
                </c:pt>
                <c:pt idx="32">
                  <c:v>0.10484242890084561</c:v>
                </c:pt>
                <c:pt idx="33">
                  <c:v>9.2445933597319563E-2</c:v>
                </c:pt>
                <c:pt idx="34">
                  <c:v>4.7885075818036693E-2</c:v>
                </c:pt>
                <c:pt idx="35">
                  <c:v>2.1603183627060929E-2</c:v>
                </c:pt>
                <c:pt idx="36">
                  <c:v>2.9775984416307244E-2</c:v>
                </c:pt>
                <c:pt idx="37">
                  <c:v>7.8628189042241781E-2</c:v>
                </c:pt>
                <c:pt idx="38">
                  <c:v>0.11896420411271902</c:v>
                </c:pt>
                <c:pt idx="39">
                  <c:v>9.2376182526432871E-2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8-4714-8FCB-93E4E7E0B195}"/>
            </c:ext>
          </c:extLst>
        </c:ser>
        <c:ser>
          <c:idx val="2"/>
          <c:order val="2"/>
          <c:tx>
            <c:strRef>
              <c:f>'388.2'!$D$5</c:f>
              <c:strCache>
                <c:ptCount val="1"/>
                <c:pt idx="0">
                  <c:v>manuf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'388.2'!$A$6:$A$45</c:f>
              <c:numCache>
                <c:formatCode>m/d/yyyy</c:formatCode>
                <c:ptCount val="40"/>
                <c:pt idx="0">
                  <c:v>25934</c:v>
                </c:pt>
                <c:pt idx="1">
                  <c:v>26024</c:v>
                </c:pt>
                <c:pt idx="2">
                  <c:v>26115</c:v>
                </c:pt>
                <c:pt idx="3">
                  <c:v>26207</c:v>
                </c:pt>
                <c:pt idx="4">
                  <c:v>26299</c:v>
                </c:pt>
                <c:pt idx="5">
                  <c:v>26390</c:v>
                </c:pt>
                <c:pt idx="6">
                  <c:v>26481</c:v>
                </c:pt>
                <c:pt idx="7">
                  <c:v>26573</c:v>
                </c:pt>
                <c:pt idx="8">
                  <c:v>26665</c:v>
                </c:pt>
                <c:pt idx="9">
                  <c:v>26755</c:v>
                </c:pt>
                <c:pt idx="10">
                  <c:v>26846</c:v>
                </c:pt>
                <c:pt idx="11">
                  <c:v>26938</c:v>
                </c:pt>
                <c:pt idx="12">
                  <c:v>27030</c:v>
                </c:pt>
                <c:pt idx="13">
                  <c:v>27120</c:v>
                </c:pt>
                <c:pt idx="14">
                  <c:v>27211</c:v>
                </c:pt>
                <c:pt idx="15">
                  <c:v>27303</c:v>
                </c:pt>
                <c:pt idx="16">
                  <c:v>27395</c:v>
                </c:pt>
                <c:pt idx="17">
                  <c:v>27485</c:v>
                </c:pt>
                <c:pt idx="18">
                  <c:v>27576</c:v>
                </c:pt>
                <c:pt idx="19">
                  <c:v>27668</c:v>
                </c:pt>
                <c:pt idx="20">
                  <c:v>27760</c:v>
                </c:pt>
                <c:pt idx="21">
                  <c:v>27851</c:v>
                </c:pt>
                <c:pt idx="22">
                  <c:v>27942</c:v>
                </c:pt>
                <c:pt idx="23">
                  <c:v>28034</c:v>
                </c:pt>
                <c:pt idx="24">
                  <c:v>28126</c:v>
                </c:pt>
                <c:pt idx="25">
                  <c:v>28216</c:v>
                </c:pt>
                <c:pt idx="26">
                  <c:v>28307</c:v>
                </c:pt>
                <c:pt idx="27">
                  <c:v>28399</c:v>
                </c:pt>
                <c:pt idx="28">
                  <c:v>28491</c:v>
                </c:pt>
                <c:pt idx="29">
                  <c:v>28581</c:v>
                </c:pt>
                <c:pt idx="30">
                  <c:v>28672</c:v>
                </c:pt>
                <c:pt idx="31">
                  <c:v>28764</c:v>
                </c:pt>
                <c:pt idx="32">
                  <c:v>28856</c:v>
                </c:pt>
                <c:pt idx="33">
                  <c:v>28946</c:v>
                </c:pt>
                <c:pt idx="34">
                  <c:v>29037</c:v>
                </c:pt>
                <c:pt idx="35">
                  <c:v>29129</c:v>
                </c:pt>
                <c:pt idx="36">
                  <c:v>29221</c:v>
                </c:pt>
                <c:pt idx="37">
                  <c:v>29312</c:v>
                </c:pt>
                <c:pt idx="38">
                  <c:v>29403</c:v>
                </c:pt>
                <c:pt idx="39">
                  <c:v>29495</c:v>
                </c:pt>
              </c:numCache>
            </c:numRef>
          </c:cat>
          <c:val>
            <c:numRef>
              <c:f>'388.2'!$D$6:$D$45</c:f>
              <c:numCache>
                <c:formatCode>0%</c:formatCode>
                <c:ptCount val="40"/>
                <c:pt idx="0">
                  <c:v>5.1796341194622064E-2</c:v>
                </c:pt>
                <c:pt idx="1">
                  <c:v>6.8450039339102986E-2</c:v>
                </c:pt>
                <c:pt idx="2">
                  <c:v>0.10976325572295043</c:v>
                </c:pt>
                <c:pt idx="3">
                  <c:v>0.15019305019305018</c:v>
                </c:pt>
                <c:pt idx="4">
                  <c:v>8.8642078792958934E-2</c:v>
                </c:pt>
                <c:pt idx="5">
                  <c:v>7.5846833578792294E-2</c:v>
                </c:pt>
                <c:pt idx="6">
                  <c:v>5.2009873060648859E-2</c:v>
                </c:pt>
                <c:pt idx="7">
                  <c:v>2.8868747901980463E-2</c:v>
                </c:pt>
                <c:pt idx="8">
                  <c:v>7.3724735322425516E-2</c:v>
                </c:pt>
                <c:pt idx="9">
                  <c:v>6.6050650239561914E-2</c:v>
                </c:pt>
                <c:pt idx="10">
                  <c:v>4.6086810792693056E-2</c:v>
                </c:pt>
                <c:pt idx="11">
                  <c:v>6.9494290375203827E-2</c:v>
                </c:pt>
                <c:pt idx="12">
                  <c:v>3.1731803513804335E-2</c:v>
                </c:pt>
                <c:pt idx="13">
                  <c:v>7.3354735152487915E-2</c:v>
                </c:pt>
                <c:pt idx="14">
                  <c:v>6.4722845241909743E-2</c:v>
                </c:pt>
                <c:pt idx="15">
                  <c:v>7.001220256253804E-2</c:v>
                </c:pt>
                <c:pt idx="16">
                  <c:v>2.8670721112076469E-2</c:v>
                </c:pt>
                <c:pt idx="17">
                  <c:v>1.4356213548676555E-2</c:v>
                </c:pt>
                <c:pt idx="18">
                  <c:v>-5.5522118567559398E-2</c:v>
                </c:pt>
                <c:pt idx="19">
                  <c:v>-8.8952245188881007E-2</c:v>
                </c:pt>
                <c:pt idx="20">
                  <c:v>-6.739864864864864E-2</c:v>
                </c:pt>
                <c:pt idx="21">
                  <c:v>-6.3246351172047799E-2</c:v>
                </c:pt>
                <c:pt idx="22">
                  <c:v>-2.8676119165206293E-2</c:v>
                </c:pt>
                <c:pt idx="23">
                  <c:v>-1.9871694570489762E-2</c:v>
                </c:pt>
                <c:pt idx="24">
                  <c:v>-1.4490128599891072E-3</c:v>
                </c:pt>
                <c:pt idx="25">
                  <c:v>2.3449795404469675E-2</c:v>
                </c:pt>
                <c:pt idx="26">
                  <c:v>0.10365753649335741</c:v>
                </c:pt>
                <c:pt idx="27">
                  <c:v>3.9272030651340994E-2</c:v>
                </c:pt>
                <c:pt idx="28">
                  <c:v>-0.11518229639035005</c:v>
                </c:pt>
                <c:pt idx="29">
                  <c:v>-8.7190527448869792E-2</c:v>
                </c:pt>
                <c:pt idx="30">
                  <c:v>-9.1692673502749344E-2</c:v>
                </c:pt>
                <c:pt idx="31">
                  <c:v>-2.8878648233486959E-2</c:v>
                </c:pt>
                <c:pt idx="32">
                  <c:v>0.16584665846658475</c:v>
                </c:pt>
                <c:pt idx="33">
                  <c:v>0.12938005390835583</c:v>
                </c:pt>
                <c:pt idx="34">
                  <c:v>0.10454842931937169</c:v>
                </c:pt>
                <c:pt idx="35">
                  <c:v>5.3938627016766771E-2</c:v>
                </c:pt>
                <c:pt idx="36">
                  <c:v>3.1123615262880211E-2</c:v>
                </c:pt>
                <c:pt idx="37">
                  <c:v>-6.8764916467780379E-2</c:v>
                </c:pt>
                <c:pt idx="38">
                  <c:v>-5.4066064286772297E-2</c:v>
                </c:pt>
                <c:pt idx="39">
                  <c:v>-4.9076992345790216E-2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B8-4714-8FCB-93E4E7E0B195}"/>
            </c:ext>
          </c:extLst>
        </c:ser>
        <c:ser>
          <c:idx val="3"/>
          <c:order val="3"/>
          <c:tx>
            <c:strRef>
              <c:f>'388.2'!$E$5</c:f>
              <c:strCache>
                <c:ptCount val="1"/>
                <c:pt idx="0">
                  <c:v>comer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'388.2'!$A$6:$A$45</c:f>
              <c:numCache>
                <c:formatCode>m/d/yyyy</c:formatCode>
                <c:ptCount val="40"/>
                <c:pt idx="0">
                  <c:v>25934</c:v>
                </c:pt>
                <c:pt idx="1">
                  <c:v>26024</c:v>
                </c:pt>
                <c:pt idx="2">
                  <c:v>26115</c:v>
                </c:pt>
                <c:pt idx="3">
                  <c:v>26207</c:v>
                </c:pt>
                <c:pt idx="4">
                  <c:v>26299</c:v>
                </c:pt>
                <c:pt idx="5">
                  <c:v>26390</c:v>
                </c:pt>
                <c:pt idx="6">
                  <c:v>26481</c:v>
                </c:pt>
                <c:pt idx="7">
                  <c:v>26573</c:v>
                </c:pt>
                <c:pt idx="8">
                  <c:v>26665</c:v>
                </c:pt>
                <c:pt idx="9">
                  <c:v>26755</c:v>
                </c:pt>
                <c:pt idx="10">
                  <c:v>26846</c:v>
                </c:pt>
                <c:pt idx="11">
                  <c:v>26938</c:v>
                </c:pt>
                <c:pt idx="12">
                  <c:v>27030</c:v>
                </c:pt>
                <c:pt idx="13">
                  <c:v>27120</c:v>
                </c:pt>
                <c:pt idx="14">
                  <c:v>27211</c:v>
                </c:pt>
                <c:pt idx="15">
                  <c:v>27303</c:v>
                </c:pt>
                <c:pt idx="16">
                  <c:v>27395</c:v>
                </c:pt>
                <c:pt idx="17">
                  <c:v>27485</c:v>
                </c:pt>
                <c:pt idx="18">
                  <c:v>27576</c:v>
                </c:pt>
                <c:pt idx="19">
                  <c:v>27668</c:v>
                </c:pt>
                <c:pt idx="20">
                  <c:v>27760</c:v>
                </c:pt>
                <c:pt idx="21">
                  <c:v>27851</c:v>
                </c:pt>
                <c:pt idx="22">
                  <c:v>27942</c:v>
                </c:pt>
                <c:pt idx="23">
                  <c:v>28034</c:v>
                </c:pt>
                <c:pt idx="24">
                  <c:v>28126</c:v>
                </c:pt>
                <c:pt idx="25">
                  <c:v>28216</c:v>
                </c:pt>
                <c:pt idx="26">
                  <c:v>28307</c:v>
                </c:pt>
                <c:pt idx="27">
                  <c:v>28399</c:v>
                </c:pt>
                <c:pt idx="28">
                  <c:v>28491</c:v>
                </c:pt>
                <c:pt idx="29">
                  <c:v>28581</c:v>
                </c:pt>
                <c:pt idx="30">
                  <c:v>28672</c:v>
                </c:pt>
                <c:pt idx="31">
                  <c:v>28764</c:v>
                </c:pt>
                <c:pt idx="32">
                  <c:v>28856</c:v>
                </c:pt>
                <c:pt idx="33">
                  <c:v>28946</c:v>
                </c:pt>
                <c:pt idx="34">
                  <c:v>29037</c:v>
                </c:pt>
                <c:pt idx="35">
                  <c:v>29129</c:v>
                </c:pt>
                <c:pt idx="36">
                  <c:v>29221</c:v>
                </c:pt>
                <c:pt idx="37">
                  <c:v>29312</c:v>
                </c:pt>
                <c:pt idx="38">
                  <c:v>29403</c:v>
                </c:pt>
                <c:pt idx="39">
                  <c:v>29495</c:v>
                </c:pt>
              </c:numCache>
            </c:numRef>
          </c:cat>
          <c:val>
            <c:numRef>
              <c:f>'388.2'!$E$6:$E$45</c:f>
              <c:numCache>
                <c:formatCode>0%</c:formatCode>
                <c:ptCount val="40"/>
                <c:pt idx="0">
                  <c:v>3.1857674803475344E-2</c:v>
                </c:pt>
                <c:pt idx="1">
                  <c:v>4.9980322707595448E-2</c:v>
                </c:pt>
                <c:pt idx="2">
                  <c:v>8.9896579156722334E-2</c:v>
                </c:pt>
                <c:pt idx="3">
                  <c:v>9.2410538733779024E-2</c:v>
                </c:pt>
                <c:pt idx="4">
                  <c:v>6.6158781074578954E-2</c:v>
                </c:pt>
                <c:pt idx="5">
                  <c:v>3.4107946026986413E-2</c:v>
                </c:pt>
                <c:pt idx="6">
                  <c:v>1.642335766423364E-2</c:v>
                </c:pt>
                <c:pt idx="7">
                  <c:v>3.3477321814254779E-2</c:v>
                </c:pt>
                <c:pt idx="8">
                  <c:v>3.196690485144793E-2</c:v>
                </c:pt>
                <c:pt idx="9">
                  <c:v>2.5371511417180193E-2</c:v>
                </c:pt>
                <c:pt idx="10">
                  <c:v>-8.9766606822262451E-3</c:v>
                </c:pt>
                <c:pt idx="11">
                  <c:v>5.8516196447230939E-2</c:v>
                </c:pt>
                <c:pt idx="12">
                  <c:v>3.1705539358600543E-2</c:v>
                </c:pt>
                <c:pt idx="13">
                  <c:v>9.4379639448568309E-2</c:v>
                </c:pt>
                <c:pt idx="14">
                  <c:v>0.10144927536231885</c:v>
                </c:pt>
                <c:pt idx="15">
                  <c:v>9.9374794340243433E-2</c:v>
                </c:pt>
                <c:pt idx="16">
                  <c:v>7.4885199576121497E-2</c:v>
                </c:pt>
                <c:pt idx="17">
                  <c:v>2.8746770025839696E-2</c:v>
                </c:pt>
                <c:pt idx="18">
                  <c:v>-3.3881578947368429E-2</c:v>
                </c:pt>
                <c:pt idx="19">
                  <c:v>-9.6976953008081401E-2</c:v>
                </c:pt>
                <c:pt idx="20">
                  <c:v>-7.9526782780151128E-2</c:v>
                </c:pt>
                <c:pt idx="21">
                  <c:v>-9.3877551020408179E-2</c:v>
                </c:pt>
                <c:pt idx="22">
                  <c:v>-2.5536261491317713E-2</c:v>
                </c:pt>
                <c:pt idx="23">
                  <c:v>-2.7179317202519093E-2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5.8550517672259828E-2</c:v>
                </c:pt>
                <c:pt idx="33">
                  <c:v>0.10533610533610527</c:v>
                </c:pt>
                <c:pt idx="34">
                  <c:v>0.14500349406009794</c:v>
                </c:pt>
                <c:pt idx="35">
                  <c:v>0.10391822827938668</c:v>
                </c:pt>
                <c:pt idx="36">
                  <c:v>4.0134907251264673E-2</c:v>
                </c:pt>
                <c:pt idx="37">
                  <c:v>-4.5768025078369856E-2</c:v>
                </c:pt>
                <c:pt idx="38">
                  <c:v>-1.0375343301800455E-2</c:v>
                </c:pt>
                <c:pt idx="39">
                  <c:v>-3.0864197530866555E-4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B8-4714-8FCB-93E4E7E0B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711360"/>
        <c:axId val="462297712"/>
      </c:barChart>
      <c:dateAx>
        <c:axId val="51871136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2297712"/>
        <c:crosses val="autoZero"/>
        <c:auto val="1"/>
        <c:lblOffset val="100"/>
        <c:baseTimeUnit val="months"/>
      </c:dateAx>
      <c:valAx>
        <c:axId val="46229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1871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Activos internos BANCOS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Bancos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Hoja1!$B$4:$B$255</c:f>
              <c:numCache>
                <c:formatCode>mmm\-yy</c:formatCode>
                <c:ptCount val="252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29281</c:v>
                </c:pt>
                <c:pt idx="123">
                  <c:v>29312</c:v>
                </c:pt>
                <c:pt idx="124">
                  <c:v>29342</c:v>
                </c:pt>
                <c:pt idx="125">
                  <c:v>29373</c:v>
                </c:pt>
                <c:pt idx="126">
                  <c:v>29403</c:v>
                </c:pt>
                <c:pt idx="127">
                  <c:v>29434</c:v>
                </c:pt>
                <c:pt idx="128">
                  <c:v>29465</c:v>
                </c:pt>
                <c:pt idx="129">
                  <c:v>29495</c:v>
                </c:pt>
                <c:pt idx="130">
                  <c:v>29526</c:v>
                </c:pt>
                <c:pt idx="131">
                  <c:v>29556</c:v>
                </c:pt>
                <c:pt idx="132">
                  <c:v>29587</c:v>
                </c:pt>
                <c:pt idx="133">
                  <c:v>29618</c:v>
                </c:pt>
                <c:pt idx="134">
                  <c:v>29646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29799</c:v>
                </c:pt>
                <c:pt idx="140">
                  <c:v>29830</c:v>
                </c:pt>
                <c:pt idx="141">
                  <c:v>29860</c:v>
                </c:pt>
                <c:pt idx="142">
                  <c:v>29891</c:v>
                </c:pt>
                <c:pt idx="143">
                  <c:v>29921</c:v>
                </c:pt>
                <c:pt idx="144">
                  <c:v>29952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30072</c:v>
                </c:pt>
                <c:pt idx="149">
                  <c:v>30103</c:v>
                </c:pt>
                <c:pt idx="150">
                  <c:v>30133</c:v>
                </c:pt>
                <c:pt idx="151">
                  <c:v>30164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30317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30437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30590</c:v>
                </c:pt>
                <c:pt idx="166">
                  <c:v>30621</c:v>
                </c:pt>
                <c:pt idx="167">
                  <c:v>30651</c:v>
                </c:pt>
                <c:pt idx="168">
                  <c:v>30682</c:v>
                </c:pt>
                <c:pt idx="169">
                  <c:v>30713</c:v>
                </c:pt>
                <c:pt idx="170">
                  <c:v>30742</c:v>
                </c:pt>
                <c:pt idx="171">
                  <c:v>30773</c:v>
                </c:pt>
                <c:pt idx="172">
                  <c:v>30803</c:v>
                </c:pt>
                <c:pt idx="173">
                  <c:v>30834</c:v>
                </c:pt>
                <c:pt idx="174">
                  <c:v>30864</c:v>
                </c:pt>
                <c:pt idx="175">
                  <c:v>30895</c:v>
                </c:pt>
                <c:pt idx="176">
                  <c:v>30926</c:v>
                </c:pt>
                <c:pt idx="177">
                  <c:v>30956</c:v>
                </c:pt>
                <c:pt idx="178">
                  <c:v>30987</c:v>
                </c:pt>
                <c:pt idx="179">
                  <c:v>31017</c:v>
                </c:pt>
                <c:pt idx="180">
                  <c:v>31048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31199</c:v>
                </c:pt>
                <c:pt idx="186">
                  <c:v>31229</c:v>
                </c:pt>
                <c:pt idx="187">
                  <c:v>31260</c:v>
                </c:pt>
                <c:pt idx="188">
                  <c:v>31291</c:v>
                </c:pt>
                <c:pt idx="189">
                  <c:v>31321</c:v>
                </c:pt>
                <c:pt idx="190">
                  <c:v>31352</c:v>
                </c:pt>
                <c:pt idx="191">
                  <c:v>31382</c:v>
                </c:pt>
                <c:pt idx="192">
                  <c:v>31413</c:v>
                </c:pt>
                <c:pt idx="193">
                  <c:v>31444</c:v>
                </c:pt>
                <c:pt idx="194">
                  <c:v>31472</c:v>
                </c:pt>
                <c:pt idx="195">
                  <c:v>31503</c:v>
                </c:pt>
                <c:pt idx="196">
                  <c:v>31533</c:v>
                </c:pt>
                <c:pt idx="197">
                  <c:v>31564</c:v>
                </c:pt>
                <c:pt idx="198">
                  <c:v>31594</c:v>
                </c:pt>
                <c:pt idx="199">
                  <c:v>31625</c:v>
                </c:pt>
                <c:pt idx="200">
                  <c:v>31656</c:v>
                </c:pt>
                <c:pt idx="201">
                  <c:v>31686</c:v>
                </c:pt>
                <c:pt idx="202">
                  <c:v>31717</c:v>
                </c:pt>
                <c:pt idx="203">
                  <c:v>31747</c:v>
                </c:pt>
                <c:pt idx="204">
                  <c:v>31778</c:v>
                </c:pt>
                <c:pt idx="205">
                  <c:v>31809</c:v>
                </c:pt>
                <c:pt idx="206">
                  <c:v>31837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31990</c:v>
                </c:pt>
                <c:pt idx="212">
                  <c:v>32021</c:v>
                </c:pt>
                <c:pt idx="213">
                  <c:v>32051</c:v>
                </c:pt>
                <c:pt idx="214">
                  <c:v>32082</c:v>
                </c:pt>
                <c:pt idx="215">
                  <c:v>32112</c:v>
                </c:pt>
                <c:pt idx="216">
                  <c:v>32143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32264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32417</c:v>
                </c:pt>
                <c:pt idx="226">
                  <c:v>32448</c:v>
                </c:pt>
                <c:pt idx="227">
                  <c:v>32478</c:v>
                </c:pt>
                <c:pt idx="228">
                  <c:v>32509</c:v>
                </c:pt>
                <c:pt idx="229">
                  <c:v>32540</c:v>
                </c:pt>
                <c:pt idx="230">
                  <c:v>32568</c:v>
                </c:pt>
                <c:pt idx="231">
                  <c:v>32599</c:v>
                </c:pt>
                <c:pt idx="232">
                  <c:v>32629</c:v>
                </c:pt>
                <c:pt idx="233">
                  <c:v>32660</c:v>
                </c:pt>
                <c:pt idx="234">
                  <c:v>32690</c:v>
                </c:pt>
                <c:pt idx="235">
                  <c:v>32721</c:v>
                </c:pt>
                <c:pt idx="236">
                  <c:v>32752</c:v>
                </c:pt>
                <c:pt idx="237">
                  <c:v>32782</c:v>
                </c:pt>
                <c:pt idx="238">
                  <c:v>32813</c:v>
                </c:pt>
                <c:pt idx="239">
                  <c:v>32843</c:v>
                </c:pt>
                <c:pt idx="240">
                  <c:v>32874</c:v>
                </c:pt>
                <c:pt idx="241">
                  <c:v>32905</c:v>
                </c:pt>
                <c:pt idx="242">
                  <c:v>32933</c:v>
                </c:pt>
                <c:pt idx="243">
                  <c:v>32964</c:v>
                </c:pt>
                <c:pt idx="244">
                  <c:v>32994</c:v>
                </c:pt>
                <c:pt idx="245">
                  <c:v>33025</c:v>
                </c:pt>
                <c:pt idx="246">
                  <c:v>33055</c:v>
                </c:pt>
                <c:pt idx="247">
                  <c:v>33086</c:v>
                </c:pt>
                <c:pt idx="248">
                  <c:v>33117</c:v>
                </c:pt>
                <c:pt idx="249">
                  <c:v>33147</c:v>
                </c:pt>
                <c:pt idx="250">
                  <c:v>33178</c:v>
                </c:pt>
                <c:pt idx="251">
                  <c:v>33208</c:v>
                </c:pt>
              </c:numCache>
            </c:numRef>
          </c:cat>
          <c:val>
            <c:numRef>
              <c:f>Hoja1!$I$4:$I$255</c:f>
              <c:numCache>
                <c:formatCode>_-* #,##0_-;\-* #,##0_-;_-* "-"??_-;_-@_-</c:formatCode>
                <c:ptCount val="252"/>
                <c:pt idx="0">
                  <c:v>3854735883424.4082</c:v>
                </c:pt>
                <c:pt idx="1">
                  <c:v>3852633943614.5117</c:v>
                </c:pt>
                <c:pt idx="2">
                  <c:v>3896651142160.124</c:v>
                </c:pt>
                <c:pt idx="3">
                  <c:v>3908794788273.6152</c:v>
                </c:pt>
                <c:pt idx="4">
                  <c:v>3915057240234.2041</c:v>
                </c:pt>
                <c:pt idx="5">
                  <c:v>4010237057279.8057</c:v>
                </c:pt>
                <c:pt idx="6">
                  <c:v>4012940823584.8652</c:v>
                </c:pt>
                <c:pt idx="7">
                  <c:v>3690599775428.4868</c:v>
                </c:pt>
                <c:pt idx="8">
                  <c:v>3457010568278.5537</c:v>
                </c:pt>
                <c:pt idx="9">
                  <c:v>3209314400974.5771</c:v>
                </c:pt>
                <c:pt idx="10">
                  <c:v>3144041894601.5923</c:v>
                </c:pt>
                <c:pt idx="11">
                  <c:v>3407288603760.1357</c:v>
                </c:pt>
                <c:pt idx="12">
                  <c:v>3459861319608.2637</c:v>
                </c:pt>
                <c:pt idx="13">
                  <c:v>3444936358605.4238</c:v>
                </c:pt>
                <c:pt idx="14">
                  <c:v>3585302825458.2173</c:v>
                </c:pt>
                <c:pt idx="15">
                  <c:v>3600807340694.3809</c:v>
                </c:pt>
                <c:pt idx="16">
                  <c:v>3685918664723.8042</c:v>
                </c:pt>
                <c:pt idx="17">
                  <c:v>3942255194784.3403</c:v>
                </c:pt>
                <c:pt idx="18">
                  <c:v>4190722522439.3022</c:v>
                </c:pt>
                <c:pt idx="19">
                  <c:v>4424274247993.3984</c:v>
                </c:pt>
                <c:pt idx="20">
                  <c:v>4564580638446.5557</c:v>
                </c:pt>
                <c:pt idx="21">
                  <c:v>4490132305111.1865</c:v>
                </c:pt>
                <c:pt idx="22">
                  <c:v>4356299438266.6509</c:v>
                </c:pt>
                <c:pt idx="23">
                  <c:v>4221960342265.7168</c:v>
                </c:pt>
                <c:pt idx="24">
                  <c:v>4173514981068.2153</c:v>
                </c:pt>
                <c:pt idx="25">
                  <c:v>4083191351859.4678</c:v>
                </c:pt>
                <c:pt idx="26">
                  <c:v>3950171918155.6846</c:v>
                </c:pt>
                <c:pt idx="27">
                  <c:v>3772935903086.0684</c:v>
                </c:pt>
                <c:pt idx="28">
                  <c:v>3779912405052.5786</c:v>
                </c:pt>
                <c:pt idx="29">
                  <c:v>3698244136257.4326</c:v>
                </c:pt>
                <c:pt idx="30">
                  <c:v>3731656985631.3052</c:v>
                </c:pt>
                <c:pt idx="31">
                  <c:v>3825330017218.29</c:v>
                </c:pt>
                <c:pt idx="32">
                  <c:v>3751598957992.9224</c:v>
                </c:pt>
                <c:pt idx="33">
                  <c:v>3650532128066.9727</c:v>
                </c:pt>
                <c:pt idx="34">
                  <c:v>3516504046399.8506</c:v>
                </c:pt>
                <c:pt idx="35">
                  <c:v>3592720916440.3657</c:v>
                </c:pt>
                <c:pt idx="36">
                  <c:v>3419058416373.2915</c:v>
                </c:pt>
                <c:pt idx="37">
                  <c:v>3181988378704.4609</c:v>
                </c:pt>
                <c:pt idx="38">
                  <c:v>2896422254433.0713</c:v>
                </c:pt>
                <c:pt idx="39">
                  <c:v>2931486586431.7891</c:v>
                </c:pt>
                <c:pt idx="40">
                  <c:v>2793253182878.918</c:v>
                </c:pt>
                <c:pt idx="41">
                  <c:v>3101718848906.8511</c:v>
                </c:pt>
                <c:pt idx="42">
                  <c:v>3306509538476.5225</c:v>
                </c:pt>
                <c:pt idx="43">
                  <c:v>3824948519598.7852</c:v>
                </c:pt>
                <c:pt idx="44">
                  <c:v>44625199745287.211</c:v>
                </c:pt>
                <c:pt idx="45">
                  <c:v>44947735191637.633</c:v>
                </c:pt>
                <c:pt idx="46">
                  <c:v>47571396710997.383</c:v>
                </c:pt>
                <c:pt idx="47">
                  <c:v>50222000282249.742</c:v>
                </c:pt>
                <c:pt idx="48">
                  <c:v>57105270733181.727</c:v>
                </c:pt>
                <c:pt idx="49">
                  <c:v>57680229460246.914</c:v>
                </c:pt>
                <c:pt idx="50">
                  <c:v>62386631636145.672</c:v>
                </c:pt>
                <c:pt idx="51">
                  <c:v>62748056673766.32</c:v>
                </c:pt>
                <c:pt idx="52">
                  <c:v>63692484500864.57</c:v>
                </c:pt>
                <c:pt idx="53">
                  <c:v>60300576273768.117</c:v>
                </c:pt>
                <c:pt idx="54">
                  <c:v>58607476821060.57</c:v>
                </c:pt>
                <c:pt idx="55">
                  <c:v>58577422168512.656</c:v>
                </c:pt>
                <c:pt idx="56">
                  <c:v>58785766172017.25</c:v>
                </c:pt>
                <c:pt idx="57">
                  <c:v>57706257726710.789</c:v>
                </c:pt>
                <c:pt idx="58">
                  <c:v>57825041354417.172</c:v>
                </c:pt>
                <c:pt idx="59">
                  <c:v>54364527439319.688</c:v>
                </c:pt>
                <c:pt idx="60">
                  <c:v>56164997364259.359</c:v>
                </c:pt>
                <c:pt idx="61">
                  <c:v>55641736251079.758</c:v>
                </c:pt>
                <c:pt idx="62">
                  <c:v>52961347671205.516</c:v>
                </c:pt>
                <c:pt idx="63">
                  <c:v>49070713201820.945</c:v>
                </c:pt>
                <c:pt idx="64">
                  <c:v>49373101191867.258</c:v>
                </c:pt>
                <c:pt idx="65">
                  <c:v>44063758470182.547</c:v>
                </c:pt>
                <c:pt idx="66">
                  <c:v>35480204753722.797</c:v>
                </c:pt>
                <c:pt idx="67">
                  <c:v>32260770444847.137</c:v>
                </c:pt>
                <c:pt idx="68">
                  <c:v>35475515344948.109</c:v>
                </c:pt>
                <c:pt idx="69">
                  <c:v>33912055816972.254</c:v>
                </c:pt>
                <c:pt idx="70">
                  <c:v>34216920016594.512</c:v>
                </c:pt>
                <c:pt idx="71">
                  <c:v>33371336955553.574</c:v>
                </c:pt>
                <c:pt idx="72">
                  <c:v>35228323013880.141</c:v>
                </c:pt>
                <c:pt idx="73">
                  <c:v>32243715328617.684</c:v>
                </c:pt>
                <c:pt idx="74">
                  <c:v>26883794371602.172</c:v>
                </c:pt>
                <c:pt idx="75">
                  <c:v>22969427426516.129</c:v>
                </c:pt>
                <c:pt idx="76">
                  <c:v>24284634869702.125</c:v>
                </c:pt>
                <c:pt idx="77">
                  <c:v>27866664074599.688</c:v>
                </c:pt>
                <c:pt idx="78">
                  <c:v>29904793579550.043</c:v>
                </c:pt>
                <c:pt idx="79">
                  <c:v>31707338627954.656</c:v>
                </c:pt>
                <c:pt idx="80">
                  <c:v>32329195277340.344</c:v>
                </c:pt>
                <c:pt idx="81">
                  <c:v>31528766948288.523</c:v>
                </c:pt>
                <c:pt idx="82">
                  <c:v>32991907551283.277</c:v>
                </c:pt>
                <c:pt idx="83">
                  <c:v>31452823391971.148</c:v>
                </c:pt>
                <c:pt idx="84">
                  <c:v>30720787438999.453</c:v>
                </c:pt>
                <c:pt idx="85">
                  <c:v>31332279385738.012</c:v>
                </c:pt>
                <c:pt idx="86">
                  <c:v>31985486790637.621</c:v>
                </c:pt>
                <c:pt idx="87">
                  <c:v>34504286797499.57</c:v>
                </c:pt>
                <c:pt idx="88">
                  <c:v>39476148028547.234</c:v>
                </c:pt>
                <c:pt idx="89">
                  <c:v>1816401621777.8623</c:v>
                </c:pt>
                <c:pt idx="90">
                  <c:v>1797481895285.5579</c:v>
                </c:pt>
                <c:pt idx="91">
                  <c:v>1626827772446.0752</c:v>
                </c:pt>
                <c:pt idx="92">
                  <c:v>1642993295814.0332</c:v>
                </c:pt>
                <c:pt idx="93">
                  <c:v>1375838506095.5437</c:v>
                </c:pt>
                <c:pt idx="94">
                  <c:v>4859156662074.3945</c:v>
                </c:pt>
                <c:pt idx="95">
                  <c:v>4660015742134.6641</c:v>
                </c:pt>
                <c:pt idx="96">
                  <c:v>3860292977571.6436</c:v>
                </c:pt>
                <c:pt idx="97">
                  <c:v>3591328026811.8979</c:v>
                </c:pt>
                <c:pt idx="98">
                  <c:v>3305241860680.8271</c:v>
                </c:pt>
                <c:pt idx="99">
                  <c:v>2948366118821.0796</c:v>
                </c:pt>
                <c:pt idx="100">
                  <c:v>2681097900620.4023</c:v>
                </c:pt>
                <c:pt idx="101">
                  <c:v>2409293412093.6104</c:v>
                </c:pt>
                <c:pt idx="102">
                  <c:v>2295090566069.6611</c:v>
                </c:pt>
                <c:pt idx="103">
                  <c:v>1626177611934.4421</c:v>
                </c:pt>
                <c:pt idx="104">
                  <c:v>1825837454683.5872</c:v>
                </c:pt>
                <c:pt idx="105">
                  <c:v>1287384284538.2302</c:v>
                </c:pt>
                <c:pt idx="106">
                  <c:v>1286985446728.6025</c:v>
                </c:pt>
                <c:pt idx="107">
                  <c:v>1788191415852.0144</c:v>
                </c:pt>
                <c:pt idx="108">
                  <c:v>1494337187226.9043</c:v>
                </c:pt>
                <c:pt idx="109">
                  <c:v>1357055710853.2856</c:v>
                </c:pt>
                <c:pt idx="110">
                  <c:v>1217162317520.2273</c:v>
                </c:pt>
                <c:pt idx="111">
                  <c:v>1338512187606.4287</c:v>
                </c:pt>
                <c:pt idx="112">
                  <c:v>1098959854083.7957</c:v>
                </c:pt>
                <c:pt idx="113">
                  <c:v>1287278761061.9468</c:v>
                </c:pt>
                <c:pt idx="114">
                  <c:v>1081262965006.1781</c:v>
                </c:pt>
                <c:pt idx="115">
                  <c:v>956314895169.06396</c:v>
                </c:pt>
                <c:pt idx="116">
                  <c:v>1437790140866.0574</c:v>
                </c:pt>
                <c:pt idx="117">
                  <c:v>1041136652204.0553</c:v>
                </c:pt>
                <c:pt idx="118">
                  <c:v>826079923541.30212</c:v>
                </c:pt>
                <c:pt idx="119">
                  <c:v>1155285490181.2546</c:v>
                </c:pt>
                <c:pt idx="120">
                  <c:v>701868048806.82434</c:v>
                </c:pt>
                <c:pt idx="121">
                  <c:v>674621270756.37073</c:v>
                </c:pt>
                <c:pt idx="122">
                  <c:v>841318942923.77612</c:v>
                </c:pt>
                <c:pt idx="123">
                  <c:v>4923755350440.4658</c:v>
                </c:pt>
                <c:pt idx="124">
                  <c:v>6362979412958.1553</c:v>
                </c:pt>
                <c:pt idx="125">
                  <c:v>6284915619805.0596</c:v>
                </c:pt>
                <c:pt idx="126">
                  <c:v>6734408769059.9287</c:v>
                </c:pt>
                <c:pt idx="127">
                  <c:v>6095946503451.291</c:v>
                </c:pt>
                <c:pt idx="128">
                  <c:v>5863384035457.1289</c:v>
                </c:pt>
                <c:pt idx="129">
                  <c:v>5573685254739.377</c:v>
                </c:pt>
                <c:pt idx="130">
                  <c:v>6167078415225.5469</c:v>
                </c:pt>
                <c:pt idx="131">
                  <c:v>7443926595731.9561</c:v>
                </c:pt>
                <c:pt idx="132">
                  <c:v>7711559236586.2441</c:v>
                </c:pt>
                <c:pt idx="133">
                  <c:v>8541306602143.1045</c:v>
                </c:pt>
                <c:pt idx="134">
                  <c:v>8413414501576.2588</c:v>
                </c:pt>
                <c:pt idx="135">
                  <c:v>7516247669907.8047</c:v>
                </c:pt>
                <c:pt idx="136">
                  <c:v>9178730381822.4414</c:v>
                </c:pt>
                <c:pt idx="137">
                  <c:v>8966846569005.3965</c:v>
                </c:pt>
                <c:pt idx="138">
                  <c:v>9493336441698.7207</c:v>
                </c:pt>
                <c:pt idx="139">
                  <c:v>9053139400921.6602</c:v>
                </c:pt>
                <c:pt idx="140">
                  <c:v>8683175968549.4434</c:v>
                </c:pt>
                <c:pt idx="141">
                  <c:v>9494189369403.6973</c:v>
                </c:pt>
                <c:pt idx="142">
                  <c:v>12248548750148.086</c:v>
                </c:pt>
                <c:pt idx="143">
                  <c:v>11402439024390.244</c:v>
                </c:pt>
                <c:pt idx="144">
                  <c:v>11378052339721.764</c:v>
                </c:pt>
                <c:pt idx="145">
                  <c:v>12315599805955.322</c:v>
                </c:pt>
                <c:pt idx="146">
                  <c:v>13632031767041.695</c:v>
                </c:pt>
                <c:pt idx="147">
                  <c:v>15435008151771.156</c:v>
                </c:pt>
                <c:pt idx="148">
                  <c:v>15343509882072.564</c:v>
                </c:pt>
                <c:pt idx="149">
                  <c:v>16372793571605.385</c:v>
                </c:pt>
                <c:pt idx="150">
                  <c:v>56088345125786.164</c:v>
                </c:pt>
                <c:pt idx="151">
                  <c:v>53022491967154.586</c:v>
                </c:pt>
                <c:pt idx="152">
                  <c:v>47094637454864.844</c:v>
                </c:pt>
                <c:pt idx="153">
                  <c:v>43771785490051.742</c:v>
                </c:pt>
                <c:pt idx="154">
                  <c:v>45958505901339.711</c:v>
                </c:pt>
                <c:pt idx="155">
                  <c:v>42045226837285.336</c:v>
                </c:pt>
                <c:pt idx="156">
                  <c:v>3827331696523.2944</c:v>
                </c:pt>
                <c:pt idx="157">
                  <c:v>3442607564726.5464</c:v>
                </c:pt>
                <c:pt idx="158">
                  <c:v>3126920620382.9795</c:v>
                </c:pt>
                <c:pt idx="159">
                  <c:v>3027955062073.7891</c:v>
                </c:pt>
                <c:pt idx="160">
                  <c:v>2892952877220.2319</c:v>
                </c:pt>
                <c:pt idx="161">
                  <c:v>2642151752538.0767</c:v>
                </c:pt>
                <c:pt idx="162">
                  <c:v>2548170316545.0469</c:v>
                </c:pt>
                <c:pt idx="163">
                  <c:v>2210640629408.7153</c:v>
                </c:pt>
                <c:pt idx="164">
                  <c:v>2210300661227.6235</c:v>
                </c:pt>
                <c:pt idx="165">
                  <c:v>2032932747862.2603</c:v>
                </c:pt>
                <c:pt idx="166">
                  <c:v>1765739992363.3198</c:v>
                </c:pt>
                <c:pt idx="167">
                  <c:v>2295474493904.4575</c:v>
                </c:pt>
                <c:pt idx="168">
                  <c:v>1988630211153.2214</c:v>
                </c:pt>
                <c:pt idx="169">
                  <c:v>1804672055253.8726</c:v>
                </c:pt>
                <c:pt idx="170">
                  <c:v>1585639382464.3169</c:v>
                </c:pt>
                <c:pt idx="171">
                  <c:v>1400600426618.9133</c:v>
                </c:pt>
                <c:pt idx="172">
                  <c:v>1372702802000.4651</c:v>
                </c:pt>
                <c:pt idx="173">
                  <c:v>1359136926716.3533</c:v>
                </c:pt>
                <c:pt idx="174">
                  <c:v>1365119217225.3435</c:v>
                </c:pt>
                <c:pt idx="175">
                  <c:v>1202158481185.5015</c:v>
                </c:pt>
                <c:pt idx="176">
                  <c:v>1064525980242.457</c:v>
                </c:pt>
                <c:pt idx="177">
                  <c:v>2046789091076.3992</c:v>
                </c:pt>
                <c:pt idx="178">
                  <c:v>1870498666920.1104</c:v>
                </c:pt>
                <c:pt idx="179">
                  <c:v>1986002060610.3669</c:v>
                </c:pt>
                <c:pt idx="180">
                  <c:v>1771899998329.9656</c:v>
                </c:pt>
                <c:pt idx="181">
                  <c:v>1649700441381.9822</c:v>
                </c:pt>
                <c:pt idx="182">
                  <c:v>1304363855158.0789</c:v>
                </c:pt>
                <c:pt idx="183">
                  <c:v>1455085211190.2529</c:v>
                </c:pt>
                <c:pt idx="184">
                  <c:v>1406440064306.0752</c:v>
                </c:pt>
                <c:pt idx="185">
                  <c:v>1356068368107.3025</c:v>
                </c:pt>
                <c:pt idx="186">
                  <c:v>1610574303745.0354</c:v>
                </c:pt>
                <c:pt idx="187">
                  <c:v>1680991059566.6421</c:v>
                </c:pt>
                <c:pt idx="188">
                  <c:v>1846724548733.1152</c:v>
                </c:pt>
                <c:pt idx="189">
                  <c:v>1905174413052.6719</c:v>
                </c:pt>
                <c:pt idx="190">
                  <c:v>1839276306730.0986</c:v>
                </c:pt>
                <c:pt idx="191">
                  <c:v>1959492749879.4517</c:v>
                </c:pt>
                <c:pt idx="192">
                  <c:v>1925844560711.4202</c:v>
                </c:pt>
                <c:pt idx="193">
                  <c:v>2040638162355.4067</c:v>
                </c:pt>
                <c:pt idx="194">
                  <c:v>2004345862653.9333</c:v>
                </c:pt>
                <c:pt idx="195">
                  <c:v>2037642806525.5129</c:v>
                </c:pt>
                <c:pt idx="196">
                  <c:v>2032711951154.459</c:v>
                </c:pt>
                <c:pt idx="197">
                  <c:v>2008343819705.646</c:v>
                </c:pt>
                <c:pt idx="198">
                  <c:v>1875036164496.7969</c:v>
                </c:pt>
                <c:pt idx="199">
                  <c:v>1770817304267.2937</c:v>
                </c:pt>
                <c:pt idx="200">
                  <c:v>1746410548141.2583</c:v>
                </c:pt>
                <c:pt idx="201">
                  <c:v>1785638853217.2351</c:v>
                </c:pt>
                <c:pt idx="202">
                  <c:v>1824118775655.8984</c:v>
                </c:pt>
                <c:pt idx="203">
                  <c:v>1956544850812.8552</c:v>
                </c:pt>
                <c:pt idx="204">
                  <c:v>2967766142338.5767</c:v>
                </c:pt>
                <c:pt idx="205">
                  <c:v>2897176276090.1011</c:v>
                </c:pt>
                <c:pt idx="206">
                  <c:v>2766267323330.6606</c:v>
                </c:pt>
                <c:pt idx="207">
                  <c:v>2822804706838.5859</c:v>
                </c:pt>
                <c:pt idx="208">
                  <c:v>2802038593877.4785</c:v>
                </c:pt>
                <c:pt idx="209">
                  <c:v>2748988655206.9482</c:v>
                </c:pt>
                <c:pt idx="210">
                  <c:v>2636074799803.1587</c:v>
                </c:pt>
                <c:pt idx="211">
                  <c:v>2567096461209.666</c:v>
                </c:pt>
                <c:pt idx="212">
                  <c:v>2548656271281.9673</c:v>
                </c:pt>
                <c:pt idx="213">
                  <c:v>2391882401461.144</c:v>
                </c:pt>
                <c:pt idx="214">
                  <c:v>2302611847260.811</c:v>
                </c:pt>
                <c:pt idx="215">
                  <c:v>3844294905473.4941</c:v>
                </c:pt>
                <c:pt idx="216">
                  <c:v>3684252486.9729991</c:v>
                </c:pt>
                <c:pt idx="217">
                  <c:v>3633569212.0692115</c:v>
                </c:pt>
                <c:pt idx="218">
                  <c:v>3529689657.3208728</c:v>
                </c:pt>
                <c:pt idx="219">
                  <c:v>3282135576.105442</c:v>
                </c:pt>
                <c:pt idx="220">
                  <c:v>3307800753.2610693</c:v>
                </c:pt>
                <c:pt idx="221">
                  <c:v>3412285197.0098119</c:v>
                </c:pt>
                <c:pt idx="222">
                  <c:v>3328254655.8829908</c:v>
                </c:pt>
                <c:pt idx="223">
                  <c:v>3177486293.5534782</c:v>
                </c:pt>
                <c:pt idx="224">
                  <c:v>3673407656.1888614</c:v>
                </c:pt>
                <c:pt idx="225">
                  <c:v>3638799194.2239418</c:v>
                </c:pt>
                <c:pt idx="226">
                  <c:v>3675102677.3079753</c:v>
                </c:pt>
                <c:pt idx="227">
                  <c:v>4040681170.4250474</c:v>
                </c:pt>
                <c:pt idx="228">
                  <c:v>3977966926.0700388</c:v>
                </c:pt>
                <c:pt idx="229">
                  <c:v>4000044381.3243384</c:v>
                </c:pt>
                <c:pt idx="230">
                  <c:v>3678256691.6589751</c:v>
                </c:pt>
                <c:pt idx="231">
                  <c:v>3514077964.430625</c:v>
                </c:pt>
                <c:pt idx="232">
                  <c:v>3317817227.6049633</c:v>
                </c:pt>
                <c:pt idx="233">
                  <c:v>3019878293.1317601</c:v>
                </c:pt>
                <c:pt idx="234">
                  <c:v>2035544552.802084</c:v>
                </c:pt>
                <c:pt idx="235">
                  <c:v>3779666508.7957516</c:v>
                </c:pt>
                <c:pt idx="236">
                  <c:v>4247991258.3462191</c:v>
                </c:pt>
                <c:pt idx="237">
                  <c:v>4276381398.2420359</c:v>
                </c:pt>
                <c:pt idx="238">
                  <c:v>4132567773.1050444</c:v>
                </c:pt>
                <c:pt idx="239">
                  <c:v>3302229166.7032833</c:v>
                </c:pt>
                <c:pt idx="240">
                  <c:v>255561592.78148293</c:v>
                </c:pt>
                <c:pt idx="241">
                  <c:v>251976252.91375288</c:v>
                </c:pt>
                <c:pt idx="242">
                  <c:v>234916424.50885427</c:v>
                </c:pt>
                <c:pt idx="243">
                  <c:v>346146225.33687919</c:v>
                </c:pt>
                <c:pt idx="244">
                  <c:v>349427800.26990551</c:v>
                </c:pt>
                <c:pt idx="245">
                  <c:v>333972338.91294515</c:v>
                </c:pt>
                <c:pt idx="246">
                  <c:v>340407549.95723504</c:v>
                </c:pt>
                <c:pt idx="247">
                  <c:v>313281637.63348073</c:v>
                </c:pt>
                <c:pt idx="248">
                  <c:v>314223822.92777598</c:v>
                </c:pt>
                <c:pt idx="249">
                  <c:v>330119948.91415524</c:v>
                </c:pt>
                <c:pt idx="250">
                  <c:v>326328054.92130804</c:v>
                </c:pt>
                <c:pt idx="251">
                  <c:v>353398788.12075943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6D-47CE-81FD-B33BE7D5C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616896"/>
        <c:axId val="593324576"/>
      </c:lineChart>
      <c:dateAx>
        <c:axId val="5956168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3324576"/>
        <c:crosses val="autoZero"/>
        <c:auto val="1"/>
        <c:lblOffset val="100"/>
        <c:baseTimeUnit val="months"/>
      </c:dateAx>
      <c:valAx>
        <c:axId val="5933245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59561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Activos internos OFICIAL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Oficial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Hoja1!$B$4:$B$255</c:f>
              <c:numCache>
                <c:formatCode>mmm\-yy</c:formatCode>
                <c:ptCount val="252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29281</c:v>
                </c:pt>
                <c:pt idx="123">
                  <c:v>29312</c:v>
                </c:pt>
                <c:pt idx="124">
                  <c:v>29342</c:v>
                </c:pt>
                <c:pt idx="125">
                  <c:v>29373</c:v>
                </c:pt>
                <c:pt idx="126">
                  <c:v>29403</c:v>
                </c:pt>
                <c:pt idx="127">
                  <c:v>29434</c:v>
                </c:pt>
                <c:pt idx="128">
                  <c:v>29465</c:v>
                </c:pt>
                <c:pt idx="129">
                  <c:v>29495</c:v>
                </c:pt>
                <c:pt idx="130">
                  <c:v>29526</c:v>
                </c:pt>
                <c:pt idx="131">
                  <c:v>29556</c:v>
                </c:pt>
                <c:pt idx="132">
                  <c:v>29587</c:v>
                </c:pt>
                <c:pt idx="133">
                  <c:v>29618</c:v>
                </c:pt>
                <c:pt idx="134">
                  <c:v>29646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29799</c:v>
                </c:pt>
                <c:pt idx="140">
                  <c:v>29830</c:v>
                </c:pt>
                <c:pt idx="141">
                  <c:v>29860</c:v>
                </c:pt>
                <c:pt idx="142">
                  <c:v>29891</c:v>
                </c:pt>
                <c:pt idx="143">
                  <c:v>29921</c:v>
                </c:pt>
                <c:pt idx="144">
                  <c:v>29952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30072</c:v>
                </c:pt>
                <c:pt idx="149">
                  <c:v>30103</c:v>
                </c:pt>
                <c:pt idx="150">
                  <c:v>30133</c:v>
                </c:pt>
                <c:pt idx="151">
                  <c:v>30164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30317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30437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30590</c:v>
                </c:pt>
                <c:pt idx="166">
                  <c:v>30621</c:v>
                </c:pt>
                <c:pt idx="167">
                  <c:v>30651</c:v>
                </c:pt>
                <c:pt idx="168">
                  <c:v>30682</c:v>
                </c:pt>
                <c:pt idx="169">
                  <c:v>30713</c:v>
                </c:pt>
                <c:pt idx="170">
                  <c:v>30742</c:v>
                </c:pt>
                <c:pt idx="171">
                  <c:v>30773</c:v>
                </c:pt>
                <c:pt idx="172">
                  <c:v>30803</c:v>
                </c:pt>
                <c:pt idx="173">
                  <c:v>30834</c:v>
                </c:pt>
                <c:pt idx="174">
                  <c:v>30864</c:v>
                </c:pt>
                <c:pt idx="175">
                  <c:v>30895</c:v>
                </c:pt>
                <c:pt idx="176">
                  <c:v>30926</c:v>
                </c:pt>
                <c:pt idx="177">
                  <c:v>30956</c:v>
                </c:pt>
                <c:pt idx="178">
                  <c:v>30987</c:v>
                </c:pt>
                <c:pt idx="179">
                  <c:v>31017</c:v>
                </c:pt>
                <c:pt idx="180">
                  <c:v>31048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31199</c:v>
                </c:pt>
                <c:pt idx="186">
                  <c:v>31229</c:v>
                </c:pt>
                <c:pt idx="187">
                  <c:v>31260</c:v>
                </c:pt>
                <c:pt idx="188">
                  <c:v>31291</c:v>
                </c:pt>
                <c:pt idx="189">
                  <c:v>31321</c:v>
                </c:pt>
                <c:pt idx="190">
                  <c:v>31352</c:v>
                </c:pt>
                <c:pt idx="191">
                  <c:v>31382</c:v>
                </c:pt>
                <c:pt idx="192">
                  <c:v>31413</c:v>
                </c:pt>
                <c:pt idx="193">
                  <c:v>31444</c:v>
                </c:pt>
                <c:pt idx="194">
                  <c:v>31472</c:v>
                </c:pt>
                <c:pt idx="195">
                  <c:v>31503</c:v>
                </c:pt>
                <c:pt idx="196">
                  <c:v>31533</c:v>
                </c:pt>
                <c:pt idx="197">
                  <c:v>31564</c:v>
                </c:pt>
                <c:pt idx="198">
                  <c:v>31594</c:v>
                </c:pt>
                <c:pt idx="199">
                  <c:v>31625</c:v>
                </c:pt>
                <c:pt idx="200">
                  <c:v>31656</c:v>
                </c:pt>
                <c:pt idx="201">
                  <c:v>31686</c:v>
                </c:pt>
                <c:pt idx="202">
                  <c:v>31717</c:v>
                </c:pt>
                <c:pt idx="203">
                  <c:v>31747</c:v>
                </c:pt>
                <c:pt idx="204">
                  <c:v>31778</c:v>
                </c:pt>
                <c:pt idx="205">
                  <c:v>31809</c:v>
                </c:pt>
                <c:pt idx="206">
                  <c:v>31837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31990</c:v>
                </c:pt>
                <c:pt idx="212">
                  <c:v>32021</c:v>
                </c:pt>
                <c:pt idx="213">
                  <c:v>32051</c:v>
                </c:pt>
                <c:pt idx="214">
                  <c:v>32082</c:v>
                </c:pt>
                <c:pt idx="215">
                  <c:v>32112</c:v>
                </c:pt>
                <c:pt idx="216">
                  <c:v>32143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32264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32417</c:v>
                </c:pt>
                <c:pt idx="226">
                  <c:v>32448</c:v>
                </c:pt>
                <c:pt idx="227">
                  <c:v>32478</c:v>
                </c:pt>
                <c:pt idx="228">
                  <c:v>32509</c:v>
                </c:pt>
                <c:pt idx="229">
                  <c:v>32540</c:v>
                </c:pt>
                <c:pt idx="230">
                  <c:v>32568</c:v>
                </c:pt>
                <c:pt idx="231">
                  <c:v>32599</c:v>
                </c:pt>
                <c:pt idx="232">
                  <c:v>32629</c:v>
                </c:pt>
                <c:pt idx="233">
                  <c:v>32660</c:v>
                </c:pt>
                <c:pt idx="234">
                  <c:v>32690</c:v>
                </c:pt>
                <c:pt idx="235">
                  <c:v>32721</c:v>
                </c:pt>
                <c:pt idx="236">
                  <c:v>32752</c:v>
                </c:pt>
                <c:pt idx="237">
                  <c:v>32782</c:v>
                </c:pt>
                <c:pt idx="238">
                  <c:v>32813</c:v>
                </c:pt>
                <c:pt idx="239">
                  <c:v>32843</c:v>
                </c:pt>
                <c:pt idx="240">
                  <c:v>32874</c:v>
                </c:pt>
                <c:pt idx="241">
                  <c:v>32905</c:v>
                </c:pt>
                <c:pt idx="242">
                  <c:v>32933</c:v>
                </c:pt>
                <c:pt idx="243">
                  <c:v>32964</c:v>
                </c:pt>
                <c:pt idx="244">
                  <c:v>32994</c:v>
                </c:pt>
                <c:pt idx="245">
                  <c:v>33025</c:v>
                </c:pt>
                <c:pt idx="246">
                  <c:v>33055</c:v>
                </c:pt>
                <c:pt idx="247">
                  <c:v>33086</c:v>
                </c:pt>
                <c:pt idx="248">
                  <c:v>33117</c:v>
                </c:pt>
                <c:pt idx="249">
                  <c:v>33147</c:v>
                </c:pt>
                <c:pt idx="250">
                  <c:v>33178</c:v>
                </c:pt>
                <c:pt idx="251">
                  <c:v>33208</c:v>
                </c:pt>
              </c:numCache>
            </c:numRef>
          </c:cat>
          <c:val>
            <c:numRef>
              <c:f>Hoja1!$H$4:$H$255</c:f>
              <c:numCache>
                <c:formatCode>_-* #,##0_-;\-* #,##0_-;_-* "-"??_-;_-@_-</c:formatCode>
                <c:ptCount val="252"/>
                <c:pt idx="0">
                  <c:v>11646174863387.979</c:v>
                </c:pt>
                <c:pt idx="1">
                  <c:v>11427608671234.416</c:v>
                </c:pt>
                <c:pt idx="2">
                  <c:v>11368374362386.338</c:v>
                </c:pt>
                <c:pt idx="3">
                  <c:v>10982480852187.691</c:v>
                </c:pt>
                <c:pt idx="4">
                  <c:v>11139998252206.59</c:v>
                </c:pt>
                <c:pt idx="5">
                  <c:v>11141475264059.688</c:v>
                </c:pt>
                <c:pt idx="6">
                  <c:v>11132536315721.816</c:v>
                </c:pt>
                <c:pt idx="7">
                  <c:v>11292133641236.414</c:v>
                </c:pt>
                <c:pt idx="8">
                  <c:v>10958619687311.836</c:v>
                </c:pt>
                <c:pt idx="9">
                  <c:v>10504663191740.061</c:v>
                </c:pt>
                <c:pt idx="10">
                  <c:v>10498958475285.688</c:v>
                </c:pt>
                <c:pt idx="11">
                  <c:v>9911788291900.5625</c:v>
                </c:pt>
                <c:pt idx="12">
                  <c:v>10097219243691.473</c:v>
                </c:pt>
                <c:pt idx="13">
                  <c:v>9810805201992.2539</c:v>
                </c:pt>
                <c:pt idx="14">
                  <c:v>9830061780158.4727</c:v>
                </c:pt>
                <c:pt idx="15">
                  <c:v>9886531318373.7852</c:v>
                </c:pt>
                <c:pt idx="16">
                  <c:v>9736388925685.5215</c:v>
                </c:pt>
                <c:pt idx="17">
                  <c:v>9665349905257.4121</c:v>
                </c:pt>
                <c:pt idx="18">
                  <c:v>9400643542253.6289</c:v>
                </c:pt>
                <c:pt idx="19">
                  <c:v>9267121746305.6035</c:v>
                </c:pt>
                <c:pt idx="20">
                  <c:v>9655500542694.4414</c:v>
                </c:pt>
                <c:pt idx="21">
                  <c:v>10406334162386.496</c:v>
                </c:pt>
                <c:pt idx="22">
                  <c:v>10764645190874.699</c:v>
                </c:pt>
                <c:pt idx="23">
                  <c:v>10758569452272.377</c:v>
                </c:pt>
                <c:pt idx="24">
                  <c:v>10243860866600.922</c:v>
                </c:pt>
                <c:pt idx="25">
                  <c:v>10370718524176.018</c:v>
                </c:pt>
                <c:pt idx="26">
                  <c:v>9918268417789.3027</c:v>
                </c:pt>
                <c:pt idx="27">
                  <c:v>9445238683879.5664</c:v>
                </c:pt>
                <c:pt idx="28">
                  <c:v>9339229418361.0859</c:v>
                </c:pt>
                <c:pt idx="29">
                  <c:v>8971852030123.4414</c:v>
                </c:pt>
                <c:pt idx="30">
                  <c:v>8786494955671.0479</c:v>
                </c:pt>
                <c:pt idx="31">
                  <c:v>9101779223263.8223</c:v>
                </c:pt>
                <c:pt idx="32">
                  <c:v>9278158000392.1523</c:v>
                </c:pt>
                <c:pt idx="33">
                  <c:v>9227412388119.5176</c:v>
                </c:pt>
                <c:pt idx="34">
                  <c:v>9059180190049.168</c:v>
                </c:pt>
                <c:pt idx="35">
                  <c:v>9422698754565.0332</c:v>
                </c:pt>
                <c:pt idx="36">
                  <c:v>9357658571513.8125</c:v>
                </c:pt>
                <c:pt idx="37">
                  <c:v>8867131703393.4727</c:v>
                </c:pt>
                <c:pt idx="38">
                  <c:v>8813143729207.5078</c:v>
                </c:pt>
                <c:pt idx="39">
                  <c:v>8839691203706.5332</c:v>
                </c:pt>
                <c:pt idx="40">
                  <c:v>9281895253005.6426</c:v>
                </c:pt>
                <c:pt idx="41">
                  <c:v>10860276573988.41</c:v>
                </c:pt>
                <c:pt idx="42">
                  <c:v>11433388928793.174</c:v>
                </c:pt>
                <c:pt idx="43">
                  <c:v>11938622076486.893</c:v>
                </c:pt>
                <c:pt idx="44">
                  <c:v>12660547151902.537</c:v>
                </c:pt>
                <c:pt idx="45">
                  <c:v>13613695923522.418</c:v>
                </c:pt>
                <c:pt idx="46">
                  <c:v>13787517753806.064</c:v>
                </c:pt>
                <c:pt idx="47">
                  <c:v>14868048242995.32</c:v>
                </c:pt>
                <c:pt idx="48">
                  <c:v>16580212441348.34</c:v>
                </c:pt>
                <c:pt idx="49">
                  <c:v>16849002913600.961</c:v>
                </c:pt>
                <c:pt idx="50">
                  <c:v>17540655757908.477</c:v>
                </c:pt>
                <c:pt idx="51">
                  <c:v>17544136792735.475</c:v>
                </c:pt>
                <c:pt idx="52">
                  <c:v>17563050904643.412</c:v>
                </c:pt>
                <c:pt idx="53">
                  <c:v>17328323728770.531</c:v>
                </c:pt>
                <c:pt idx="54">
                  <c:v>17942087395024.715</c:v>
                </c:pt>
                <c:pt idx="55">
                  <c:v>18644959774679.73</c:v>
                </c:pt>
                <c:pt idx="56">
                  <c:v>19341798662276.773</c:v>
                </c:pt>
                <c:pt idx="57">
                  <c:v>19434495673041.961</c:v>
                </c:pt>
                <c:pt idx="58">
                  <c:v>19405369309130.27</c:v>
                </c:pt>
                <c:pt idx="59">
                  <c:v>19734226991844.723</c:v>
                </c:pt>
                <c:pt idx="60">
                  <c:v>20392725355824.988</c:v>
                </c:pt>
                <c:pt idx="61">
                  <c:v>19831197811690.184</c:v>
                </c:pt>
                <c:pt idx="62">
                  <c:v>19279555215234.543</c:v>
                </c:pt>
                <c:pt idx="63">
                  <c:v>17881335356600.91</c:v>
                </c:pt>
                <c:pt idx="64">
                  <c:v>17997195606450.105</c:v>
                </c:pt>
                <c:pt idx="65">
                  <c:v>16117822952084.689</c:v>
                </c:pt>
                <c:pt idx="66">
                  <c:v>13371456185567.01</c:v>
                </c:pt>
                <c:pt idx="67">
                  <c:v>12394633775647.395</c:v>
                </c:pt>
                <c:pt idx="68">
                  <c:v>13098136449362.332</c:v>
                </c:pt>
                <c:pt idx="69">
                  <c:v>12827936301893.789</c:v>
                </c:pt>
                <c:pt idx="70">
                  <c:v>13943536119650.664</c:v>
                </c:pt>
                <c:pt idx="71">
                  <c:v>15190344704729.67</c:v>
                </c:pt>
                <c:pt idx="72">
                  <c:v>15536925102853.73</c:v>
                </c:pt>
                <c:pt idx="73">
                  <c:v>14333518934785.15</c:v>
                </c:pt>
                <c:pt idx="74">
                  <c:v>12699022625519.666</c:v>
                </c:pt>
                <c:pt idx="75">
                  <c:v>9960786215851.1738</c:v>
                </c:pt>
                <c:pt idx="76">
                  <c:v>8924264463580.1719</c:v>
                </c:pt>
                <c:pt idx="77">
                  <c:v>9864434896997.7383</c:v>
                </c:pt>
                <c:pt idx="78">
                  <c:v>10528997084439.359</c:v>
                </c:pt>
                <c:pt idx="79">
                  <c:v>11192261918789.621</c:v>
                </c:pt>
                <c:pt idx="80">
                  <c:v>10297577651833.08</c:v>
                </c:pt>
                <c:pt idx="81">
                  <c:v>9565848661211.1133</c:v>
                </c:pt>
                <c:pt idx="82">
                  <c:v>8932688850353.418</c:v>
                </c:pt>
                <c:pt idx="83">
                  <c:v>8693655055198.0938</c:v>
                </c:pt>
                <c:pt idx="84">
                  <c:v>8572776024597.3369</c:v>
                </c:pt>
                <c:pt idx="85">
                  <c:v>8691051542461.9492</c:v>
                </c:pt>
                <c:pt idx="86">
                  <c:v>8668066508854.7666</c:v>
                </c:pt>
                <c:pt idx="87">
                  <c:v>8908299550423.6055</c:v>
                </c:pt>
                <c:pt idx="88">
                  <c:v>10144656362301.045</c:v>
                </c:pt>
                <c:pt idx="89">
                  <c:v>9687974418198.9102</c:v>
                </c:pt>
                <c:pt idx="90">
                  <c:v>11089763726047.867</c:v>
                </c:pt>
                <c:pt idx="91">
                  <c:v>9866305587539.7207</c:v>
                </c:pt>
                <c:pt idx="92">
                  <c:v>9365109062470.1387</c:v>
                </c:pt>
                <c:pt idx="93">
                  <c:v>9131923766808.125</c:v>
                </c:pt>
                <c:pt idx="94">
                  <c:v>8579651315357.8691</c:v>
                </c:pt>
                <c:pt idx="95">
                  <c:v>9622937665731.8184</c:v>
                </c:pt>
                <c:pt idx="96">
                  <c:v>9065478397454.4805</c:v>
                </c:pt>
                <c:pt idx="97">
                  <c:v>8946630104987.877</c:v>
                </c:pt>
                <c:pt idx="98">
                  <c:v>8547172108338.7432</c:v>
                </c:pt>
                <c:pt idx="99">
                  <c:v>8238513770948.7002</c:v>
                </c:pt>
                <c:pt idx="100">
                  <c:v>8057550467702.5908</c:v>
                </c:pt>
                <c:pt idx="101">
                  <c:v>8077025747395.9502</c:v>
                </c:pt>
                <c:pt idx="102">
                  <c:v>8241093560968.1816</c:v>
                </c:pt>
                <c:pt idx="103">
                  <c:v>8562051958141.5596</c:v>
                </c:pt>
                <c:pt idx="104">
                  <c:v>8582900914257.4746</c:v>
                </c:pt>
                <c:pt idx="105">
                  <c:v>8303970027385.293</c:v>
                </c:pt>
                <c:pt idx="106">
                  <c:v>8059927233643.0127</c:v>
                </c:pt>
                <c:pt idx="107">
                  <c:v>7840760543277.5625</c:v>
                </c:pt>
                <c:pt idx="108">
                  <c:v>7035734734262.1514</c:v>
                </c:pt>
                <c:pt idx="109">
                  <c:v>6690409300412.292</c:v>
                </c:pt>
                <c:pt idx="110">
                  <c:v>6516964924838.9404</c:v>
                </c:pt>
                <c:pt idx="111">
                  <c:v>6244688701123.8867</c:v>
                </c:pt>
                <c:pt idx="112">
                  <c:v>5895272512162.8438</c:v>
                </c:pt>
                <c:pt idx="113">
                  <c:v>6114570658185.8408</c:v>
                </c:pt>
                <c:pt idx="114">
                  <c:v>5357155070345.7441</c:v>
                </c:pt>
                <c:pt idx="115">
                  <c:v>4987013005809.6279</c:v>
                </c:pt>
                <c:pt idx="116">
                  <c:v>5325144706381.1689</c:v>
                </c:pt>
                <c:pt idx="117">
                  <c:v>4832114267612.8389</c:v>
                </c:pt>
                <c:pt idx="118">
                  <c:v>5319510180292.8691</c:v>
                </c:pt>
                <c:pt idx="119">
                  <c:v>4703831106239.0137</c:v>
                </c:pt>
                <c:pt idx="120">
                  <c:v>4564896901423.3486</c:v>
                </c:pt>
                <c:pt idx="121">
                  <c:v>4424260426820.8496</c:v>
                </c:pt>
                <c:pt idx="122">
                  <c:v>3949552499389.5249</c:v>
                </c:pt>
                <c:pt idx="123">
                  <c:v>3336198075005.3306</c:v>
                </c:pt>
                <c:pt idx="124">
                  <c:v>3125596886901.9795</c:v>
                </c:pt>
                <c:pt idx="125">
                  <c:v>3703521800332.8091</c:v>
                </c:pt>
                <c:pt idx="126">
                  <c:v>5147126134839.4209</c:v>
                </c:pt>
                <c:pt idx="127">
                  <c:v>3318134517219.5093</c:v>
                </c:pt>
                <c:pt idx="128">
                  <c:v>5157333647460.7217</c:v>
                </c:pt>
                <c:pt idx="129">
                  <c:v>6169570839234.0371</c:v>
                </c:pt>
                <c:pt idx="130">
                  <c:v>6312824333686.2607</c:v>
                </c:pt>
                <c:pt idx="131">
                  <c:v>7807183162523.0029</c:v>
                </c:pt>
                <c:pt idx="132">
                  <c:v>7232024966990.7568</c:v>
                </c:pt>
                <c:pt idx="133">
                  <c:v>9236087106809.541</c:v>
                </c:pt>
                <c:pt idx="134">
                  <c:v>7701380584846.1787</c:v>
                </c:pt>
                <c:pt idx="135">
                  <c:v>7220011083681.7979</c:v>
                </c:pt>
                <c:pt idx="136">
                  <c:v>8518622628250.1758</c:v>
                </c:pt>
                <c:pt idx="137">
                  <c:v>7943973271652.5313</c:v>
                </c:pt>
                <c:pt idx="138">
                  <c:v>7698643975599.332</c:v>
                </c:pt>
                <c:pt idx="139">
                  <c:v>8299971198156.6826</c:v>
                </c:pt>
                <c:pt idx="140">
                  <c:v>7530996942307.0459</c:v>
                </c:pt>
                <c:pt idx="141">
                  <c:v>9692322347113.7363</c:v>
                </c:pt>
                <c:pt idx="142">
                  <c:v>9654957943371.6387</c:v>
                </c:pt>
                <c:pt idx="143">
                  <c:v>13138882839721.254</c:v>
                </c:pt>
                <c:pt idx="144">
                  <c:v>11699824885689.27</c:v>
                </c:pt>
                <c:pt idx="145">
                  <c:v>12135415463512.67</c:v>
                </c:pt>
                <c:pt idx="146">
                  <c:v>12688947716743.879</c:v>
                </c:pt>
                <c:pt idx="147">
                  <c:v>14826907196849.393</c:v>
                </c:pt>
                <c:pt idx="148">
                  <c:v>14529728397090.85</c:v>
                </c:pt>
                <c:pt idx="149">
                  <c:v>13584743987661.139</c:v>
                </c:pt>
                <c:pt idx="150">
                  <c:v>14263954402515.725</c:v>
                </c:pt>
                <c:pt idx="151">
                  <c:v>12659907176008.568</c:v>
                </c:pt>
                <c:pt idx="152">
                  <c:v>11091904947789.598</c:v>
                </c:pt>
                <c:pt idx="153">
                  <c:v>12195652644569.053</c:v>
                </c:pt>
                <c:pt idx="154">
                  <c:v>11641486320947.324</c:v>
                </c:pt>
                <c:pt idx="155">
                  <c:v>12610957796488.02</c:v>
                </c:pt>
                <c:pt idx="156">
                  <c:v>1626655754599.7393</c:v>
                </c:pt>
                <c:pt idx="157">
                  <c:v>1555984607752.4368</c:v>
                </c:pt>
                <c:pt idx="158">
                  <c:v>1713344018510.2615</c:v>
                </c:pt>
                <c:pt idx="159">
                  <c:v>1904233694701.8711</c:v>
                </c:pt>
                <c:pt idx="160">
                  <c:v>2054012075055.7407</c:v>
                </c:pt>
                <c:pt idx="161">
                  <c:v>2145307315975.9319</c:v>
                </c:pt>
                <c:pt idx="162">
                  <c:v>2214776718225.2856</c:v>
                </c:pt>
                <c:pt idx="163">
                  <c:v>2304966633201.4409</c:v>
                </c:pt>
                <c:pt idx="164">
                  <c:v>2372336571888.9053</c:v>
                </c:pt>
                <c:pt idx="165">
                  <c:v>2314120637855.3271</c:v>
                </c:pt>
                <c:pt idx="166">
                  <c:v>2383865284311.2744</c:v>
                </c:pt>
                <c:pt idx="167">
                  <c:v>2744253985610.4683</c:v>
                </c:pt>
                <c:pt idx="168">
                  <c:v>3299389806698.957</c:v>
                </c:pt>
                <c:pt idx="169">
                  <c:v>2681902354795.9263</c:v>
                </c:pt>
                <c:pt idx="170">
                  <c:v>2574591153093.9204</c:v>
                </c:pt>
                <c:pt idx="171">
                  <c:v>2467858741737.5503</c:v>
                </c:pt>
                <c:pt idx="172">
                  <c:v>2363562746965.187</c:v>
                </c:pt>
                <c:pt idx="173">
                  <c:v>2297541525703.9653</c:v>
                </c:pt>
                <c:pt idx="174">
                  <c:v>2266998198973.146</c:v>
                </c:pt>
                <c:pt idx="175">
                  <c:v>2090540670652.1833</c:v>
                </c:pt>
                <c:pt idx="176">
                  <c:v>1845453328895.4922</c:v>
                </c:pt>
                <c:pt idx="177">
                  <c:v>1733298442568.2671</c:v>
                </c:pt>
                <c:pt idx="178">
                  <c:v>1782963088943.6904</c:v>
                </c:pt>
                <c:pt idx="179">
                  <c:v>1759654670124.7024</c:v>
                </c:pt>
                <c:pt idx="180">
                  <c:v>1686270645802.3682</c:v>
                </c:pt>
                <c:pt idx="181">
                  <c:v>1781726232479.626</c:v>
                </c:pt>
                <c:pt idx="182">
                  <c:v>1738913685592.3857</c:v>
                </c:pt>
                <c:pt idx="183">
                  <c:v>1681861887742.6006</c:v>
                </c:pt>
                <c:pt idx="184">
                  <c:v>1719405303900.2444</c:v>
                </c:pt>
                <c:pt idx="185">
                  <c:v>1609828303527.074</c:v>
                </c:pt>
                <c:pt idx="186">
                  <c:v>1532299407909.1638</c:v>
                </c:pt>
                <c:pt idx="187">
                  <c:v>1549614440856.5039</c:v>
                </c:pt>
                <c:pt idx="188">
                  <c:v>1575494377126.5403</c:v>
                </c:pt>
                <c:pt idx="189">
                  <c:v>1597289788048.6929</c:v>
                </c:pt>
                <c:pt idx="190">
                  <c:v>1613716501645.7671</c:v>
                </c:pt>
                <c:pt idx="191">
                  <c:v>1577154370737.7559</c:v>
                </c:pt>
                <c:pt idx="192">
                  <c:v>1582580151778.5505</c:v>
                </c:pt>
                <c:pt idx="193">
                  <c:v>1605672782560.457</c:v>
                </c:pt>
                <c:pt idx="194">
                  <c:v>1595488423598.8943</c:v>
                </c:pt>
                <c:pt idx="195">
                  <c:v>1584541838046.9954</c:v>
                </c:pt>
                <c:pt idx="196">
                  <c:v>1588316284970.7693</c:v>
                </c:pt>
                <c:pt idx="197">
                  <c:v>1582471841935.6062</c:v>
                </c:pt>
                <c:pt idx="198">
                  <c:v>1552201513742.5088</c:v>
                </c:pt>
                <c:pt idx="199">
                  <c:v>1517573793070.6941</c:v>
                </c:pt>
                <c:pt idx="200">
                  <c:v>1508980757891.5898</c:v>
                </c:pt>
                <c:pt idx="201">
                  <c:v>1517475543166.1812</c:v>
                </c:pt>
                <c:pt idx="202">
                  <c:v>1562936522101.2551</c:v>
                </c:pt>
                <c:pt idx="203">
                  <c:v>1609726097750.8916</c:v>
                </c:pt>
                <c:pt idx="204">
                  <c:v>1622311956880.4312</c:v>
                </c:pt>
                <c:pt idx="205">
                  <c:v>1626224219880.1404</c:v>
                </c:pt>
                <c:pt idx="206">
                  <c:v>1576103348222.8076</c:v>
                </c:pt>
                <c:pt idx="207">
                  <c:v>1614546311006.0222</c:v>
                </c:pt>
                <c:pt idx="208">
                  <c:v>1665080344790.8906</c:v>
                </c:pt>
                <c:pt idx="209">
                  <c:v>1664089871775.928</c:v>
                </c:pt>
                <c:pt idx="210">
                  <c:v>1656411369092.8884</c:v>
                </c:pt>
                <c:pt idx="211">
                  <c:v>1625572513078.7083</c:v>
                </c:pt>
                <c:pt idx="212">
                  <c:v>1649027428786.1355</c:v>
                </c:pt>
                <c:pt idx="213">
                  <c:v>1595093678194.78</c:v>
                </c:pt>
                <c:pt idx="214">
                  <c:v>1544587785851.6777</c:v>
                </c:pt>
                <c:pt idx="215">
                  <c:v>1650336333491.2366</c:v>
                </c:pt>
                <c:pt idx="216">
                  <c:v>1724174324.9644718</c:v>
                </c:pt>
                <c:pt idx="217">
                  <c:v>1748195266.6952667</c:v>
                </c:pt>
                <c:pt idx="218">
                  <c:v>1871893395.6386297</c:v>
                </c:pt>
                <c:pt idx="219">
                  <c:v>1814567389.4557824</c:v>
                </c:pt>
                <c:pt idx="220">
                  <c:v>1874408735.9911814</c:v>
                </c:pt>
                <c:pt idx="221">
                  <c:v>1838885609.7181125</c:v>
                </c:pt>
                <c:pt idx="222">
                  <c:v>1925691704.6264448</c:v>
                </c:pt>
                <c:pt idx="223">
                  <c:v>1867691295.3745298</c:v>
                </c:pt>
                <c:pt idx="224">
                  <c:v>1950623125.0815184</c:v>
                </c:pt>
                <c:pt idx="225">
                  <c:v>2020471638.2783518</c:v>
                </c:pt>
                <c:pt idx="226">
                  <c:v>2133773494.83972</c:v>
                </c:pt>
                <c:pt idx="227">
                  <c:v>2338773066.8032279</c:v>
                </c:pt>
                <c:pt idx="228">
                  <c:v>2480366407.2632947</c:v>
                </c:pt>
                <c:pt idx="229">
                  <c:v>2521554529.8538375</c:v>
                </c:pt>
                <c:pt idx="230">
                  <c:v>2745546269.4870467</c:v>
                </c:pt>
                <c:pt idx="231">
                  <c:v>2337160138.0304122</c:v>
                </c:pt>
                <c:pt idx="232">
                  <c:v>2328435747.0678225</c:v>
                </c:pt>
                <c:pt idx="233">
                  <c:v>2682140495.3969841</c:v>
                </c:pt>
                <c:pt idx="234">
                  <c:v>1685304922.8508449</c:v>
                </c:pt>
                <c:pt idx="235">
                  <c:v>1651816504.7379444</c:v>
                </c:pt>
                <c:pt idx="236">
                  <c:v>1706375913.2657807</c:v>
                </c:pt>
                <c:pt idx="237">
                  <c:v>1727202923.2622676</c:v>
                </c:pt>
                <c:pt idx="238">
                  <c:v>1854650404.1742435</c:v>
                </c:pt>
                <c:pt idx="239">
                  <c:v>1514780203.073343</c:v>
                </c:pt>
                <c:pt idx="240">
                  <c:v>258991957.6304433</c:v>
                </c:pt>
                <c:pt idx="241">
                  <c:v>172353219.69696969</c:v>
                </c:pt>
                <c:pt idx="242">
                  <c:v>93863969.401187196</c:v>
                </c:pt>
                <c:pt idx="243">
                  <c:v>79317878.985543609</c:v>
                </c:pt>
                <c:pt idx="244">
                  <c:v>62726634.768740028</c:v>
                </c:pt>
                <c:pt idx="245">
                  <c:v>54819319.675133035</c:v>
                </c:pt>
                <c:pt idx="246">
                  <c:v>49642951.558976747</c:v>
                </c:pt>
                <c:pt idx="247">
                  <c:v>43285547.675547406</c:v>
                </c:pt>
                <c:pt idx="248">
                  <c:v>39029844.222599089</c:v>
                </c:pt>
                <c:pt idx="249">
                  <c:v>37438131.470287412</c:v>
                </c:pt>
                <c:pt idx="250">
                  <c:v>37275773.668759689</c:v>
                </c:pt>
                <c:pt idx="251">
                  <c:v>32285383.197773919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3-415F-AA2B-254338372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616896"/>
        <c:axId val="593324576"/>
      </c:lineChart>
      <c:dateAx>
        <c:axId val="5956168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3324576"/>
        <c:crosses val="autoZero"/>
        <c:auto val="1"/>
        <c:lblOffset val="100"/>
        <c:baseTimeUnit val="months"/>
      </c:dateAx>
      <c:valAx>
        <c:axId val="59332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561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50</xdr:row>
      <xdr:rowOff>138112</xdr:rowOff>
    </xdr:from>
    <xdr:to>
      <xdr:col>14</xdr:col>
      <xdr:colOff>276225</xdr:colOff>
      <xdr:row>65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47EA9A-B9F0-4420-B841-C850E63D5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180975</xdr:colOff>
      <xdr:row>34</xdr:row>
      <xdr:rowOff>14287</xdr:rowOff>
    </xdr:from>
    <xdr:to>
      <xdr:col>11</xdr:col>
      <xdr:colOff>180975</xdr:colOff>
      <xdr:row>48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3D1CFC-D488-4C82-B83C-F5622117C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241</xdr:row>
      <xdr:rowOff>42862</xdr:rowOff>
    </xdr:from>
    <xdr:to>
      <xdr:col>15</xdr:col>
      <xdr:colOff>438150</xdr:colOff>
      <xdr:row>255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36CC4E-3975-47E6-9386-5DEDD40B3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257</xdr:row>
      <xdr:rowOff>0</xdr:rowOff>
    </xdr:from>
    <xdr:to>
      <xdr:col>16</xdr:col>
      <xdr:colOff>0</xdr:colOff>
      <xdr:row>271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2759C2-3865-4170-BED5-65FE79693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5"/>
  <sheetViews>
    <sheetView topLeftCell="A44" workbookViewId="0">
      <selection activeCell="B5" sqref="B5:E45"/>
    </sheetView>
  </sheetViews>
  <sheetFormatPr baseColWidth="10" defaultRowHeight="15" x14ac:dyDescent="0.25"/>
  <cols>
    <col min="6" max="6" width="11.42578125" style="4"/>
    <col min="14" max="14" width="11.42578125" style="4"/>
    <col min="17" max="17" width="11.42578125" style="4"/>
    <col min="26" max="26" width="11.42578125" style="4"/>
  </cols>
  <sheetData>
    <row r="1" spans="1:29" s="2" customFormat="1" ht="60" x14ac:dyDescent="0.25">
      <c r="A1" s="2" t="s">
        <v>0</v>
      </c>
      <c r="F1" s="3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3" t="s">
        <v>9</v>
      </c>
      <c r="O1" s="2" t="s">
        <v>10</v>
      </c>
      <c r="P1" s="2" t="s">
        <v>11</v>
      </c>
      <c r="Q1" s="3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3" t="s">
        <v>21</v>
      </c>
      <c r="AA1" s="2" t="s">
        <v>22</v>
      </c>
      <c r="AB1" s="2" t="s">
        <v>23</v>
      </c>
      <c r="AC1" s="2" t="s">
        <v>24</v>
      </c>
    </row>
    <row r="2" spans="1:29" x14ac:dyDescent="0.25">
      <c r="A2" s="1">
        <v>25569</v>
      </c>
      <c r="B2" s="1"/>
      <c r="C2" s="1"/>
      <c r="D2" s="1"/>
      <c r="E2" s="1"/>
      <c r="F2" s="4">
        <v>1574</v>
      </c>
      <c r="G2">
        <v>1539</v>
      </c>
      <c r="H2">
        <v>930</v>
      </c>
      <c r="I2">
        <v>563</v>
      </c>
      <c r="J2">
        <v>2</v>
      </c>
      <c r="K2">
        <v>44</v>
      </c>
      <c r="L2">
        <v>23</v>
      </c>
      <c r="M2">
        <v>11</v>
      </c>
      <c r="N2" s="4">
        <v>4841</v>
      </c>
      <c r="O2">
        <v>2598</v>
      </c>
      <c r="P2">
        <v>2243</v>
      </c>
      <c r="Q2" s="4">
        <v>4537</v>
      </c>
      <c r="R2">
        <v>860</v>
      </c>
      <c r="S2">
        <v>513</v>
      </c>
      <c r="T2">
        <v>77</v>
      </c>
      <c r="U2">
        <v>206</v>
      </c>
      <c r="V2">
        <v>875</v>
      </c>
      <c r="W2">
        <v>217</v>
      </c>
      <c r="X2">
        <v>249</v>
      </c>
      <c r="Y2">
        <v>1347</v>
      </c>
      <c r="Z2" s="4">
        <v>2417</v>
      </c>
      <c r="AA2">
        <v>1004</v>
      </c>
      <c r="AB2">
        <v>1162</v>
      </c>
      <c r="AC2">
        <v>250</v>
      </c>
    </row>
    <row r="3" spans="1:29" x14ac:dyDescent="0.25">
      <c r="A3" s="1">
        <v>25659</v>
      </c>
      <c r="B3" s="1"/>
      <c r="C3" s="1"/>
      <c r="D3" s="1"/>
      <c r="E3" s="1"/>
      <c r="F3" s="4">
        <v>1971</v>
      </c>
      <c r="G3">
        <v>1936</v>
      </c>
      <c r="H3">
        <v>1397</v>
      </c>
      <c r="I3">
        <v>492</v>
      </c>
      <c r="J3">
        <v>2</v>
      </c>
      <c r="K3">
        <v>46</v>
      </c>
      <c r="L3">
        <v>23</v>
      </c>
      <c r="M3">
        <v>11</v>
      </c>
      <c r="N3" s="4">
        <v>5056</v>
      </c>
      <c r="O3">
        <v>2669</v>
      </c>
      <c r="P3">
        <v>2387</v>
      </c>
      <c r="Q3" s="4">
        <v>5084</v>
      </c>
      <c r="R3">
        <v>924</v>
      </c>
      <c r="S3">
        <v>597</v>
      </c>
      <c r="T3">
        <v>82</v>
      </c>
      <c r="U3">
        <v>214</v>
      </c>
      <c r="V3">
        <v>923</v>
      </c>
      <c r="W3">
        <v>240</v>
      </c>
      <c r="X3">
        <v>312</v>
      </c>
      <c r="Y3">
        <v>1577</v>
      </c>
      <c r="Z3" s="4">
        <v>2541</v>
      </c>
      <c r="AA3">
        <v>1134</v>
      </c>
      <c r="AB3">
        <v>1297</v>
      </c>
      <c r="AC3">
        <v>110</v>
      </c>
    </row>
    <row r="4" spans="1:29" x14ac:dyDescent="0.25">
      <c r="A4" s="1">
        <v>25750</v>
      </c>
      <c r="B4" s="1"/>
      <c r="C4" s="1"/>
      <c r="D4" s="1"/>
      <c r="E4" s="1"/>
      <c r="F4" s="4">
        <v>1757</v>
      </c>
      <c r="G4">
        <v>1722</v>
      </c>
      <c r="H4">
        <v>669</v>
      </c>
      <c r="I4">
        <v>1003</v>
      </c>
      <c r="J4">
        <v>2</v>
      </c>
      <c r="K4">
        <v>48</v>
      </c>
      <c r="L4">
        <v>23</v>
      </c>
      <c r="M4">
        <v>11</v>
      </c>
      <c r="N4" s="4">
        <v>4703</v>
      </c>
      <c r="O4">
        <v>2651</v>
      </c>
      <c r="P4">
        <v>2052</v>
      </c>
      <c r="Q4" s="4">
        <v>5111</v>
      </c>
      <c r="R4">
        <v>870</v>
      </c>
      <c r="S4">
        <v>609</v>
      </c>
      <c r="T4">
        <v>85</v>
      </c>
      <c r="U4">
        <v>219</v>
      </c>
      <c r="V4">
        <v>937</v>
      </c>
      <c r="W4">
        <v>248</v>
      </c>
      <c r="X4">
        <v>301</v>
      </c>
      <c r="Y4">
        <v>1630</v>
      </c>
      <c r="Z4" s="4">
        <v>2514</v>
      </c>
      <c r="AA4">
        <v>1118</v>
      </c>
      <c r="AB4">
        <v>1283</v>
      </c>
      <c r="AC4">
        <v>113</v>
      </c>
    </row>
    <row r="5" spans="1:29" x14ac:dyDescent="0.25">
      <c r="A5" s="1">
        <v>25842</v>
      </c>
      <c r="B5" s="1" t="s">
        <v>25</v>
      </c>
      <c r="C5" s="1" t="s">
        <v>26</v>
      </c>
      <c r="D5" s="1" t="s">
        <v>27</v>
      </c>
      <c r="E5" s="1" t="s">
        <v>28</v>
      </c>
      <c r="F5" s="4">
        <v>1580</v>
      </c>
      <c r="G5">
        <v>1545</v>
      </c>
      <c r="H5">
        <v>827</v>
      </c>
      <c r="I5">
        <v>670</v>
      </c>
      <c r="J5">
        <v>2</v>
      </c>
      <c r="K5">
        <v>47</v>
      </c>
      <c r="L5">
        <v>23</v>
      </c>
      <c r="M5">
        <v>11</v>
      </c>
      <c r="N5" s="4">
        <v>5502</v>
      </c>
      <c r="O5">
        <v>2638</v>
      </c>
      <c r="P5">
        <v>2864</v>
      </c>
      <c r="Q5" s="4">
        <v>5180</v>
      </c>
      <c r="R5">
        <v>871</v>
      </c>
      <c r="S5">
        <v>607</v>
      </c>
      <c r="T5">
        <v>88</v>
      </c>
      <c r="U5">
        <v>229</v>
      </c>
      <c r="V5">
        <v>972</v>
      </c>
      <c r="W5">
        <v>251</v>
      </c>
      <c r="X5">
        <v>297</v>
      </c>
      <c r="Y5">
        <v>1642</v>
      </c>
      <c r="Z5" s="4">
        <v>2543</v>
      </c>
      <c r="AA5">
        <v>1133</v>
      </c>
      <c r="AB5">
        <v>1266</v>
      </c>
      <c r="AC5">
        <v>144</v>
      </c>
    </row>
    <row r="6" spans="1:29" x14ac:dyDescent="0.25">
      <c r="A6" s="1">
        <v>25934</v>
      </c>
      <c r="B6" s="5">
        <f>+F6/F2-1</f>
        <v>-1.3341804320203265E-2</v>
      </c>
      <c r="C6" s="5">
        <f>+N6/N2-1</f>
        <v>3.0159058045858389E-2</v>
      </c>
      <c r="D6" s="5">
        <f>+Q6/Q2-1</f>
        <v>5.1796341194622064E-2</v>
      </c>
      <c r="E6" s="5">
        <f>+Z6/Z2-1</f>
        <v>3.1857674803475344E-2</v>
      </c>
      <c r="F6" s="4">
        <v>1553</v>
      </c>
      <c r="G6">
        <v>1518</v>
      </c>
      <c r="H6">
        <v>912</v>
      </c>
      <c r="I6">
        <v>541</v>
      </c>
      <c r="J6">
        <v>2</v>
      </c>
      <c r="K6">
        <v>63</v>
      </c>
      <c r="L6">
        <v>23</v>
      </c>
      <c r="M6">
        <v>12</v>
      </c>
      <c r="N6" s="4">
        <v>4987</v>
      </c>
      <c r="O6">
        <v>2703</v>
      </c>
      <c r="P6">
        <v>2285</v>
      </c>
      <c r="Q6" s="4">
        <v>4772</v>
      </c>
      <c r="R6">
        <v>865</v>
      </c>
      <c r="S6">
        <v>522</v>
      </c>
      <c r="T6">
        <v>77</v>
      </c>
      <c r="U6">
        <v>219</v>
      </c>
      <c r="V6">
        <v>918</v>
      </c>
      <c r="W6">
        <v>208</v>
      </c>
      <c r="X6">
        <v>285</v>
      </c>
      <c r="Y6">
        <v>1490</v>
      </c>
      <c r="Z6" s="4">
        <v>2494</v>
      </c>
      <c r="AA6">
        <v>1059</v>
      </c>
      <c r="AB6">
        <v>1189</v>
      </c>
      <c r="AC6">
        <v>245</v>
      </c>
    </row>
    <row r="7" spans="1:29" x14ac:dyDescent="0.25">
      <c r="A7" s="1">
        <v>26024</v>
      </c>
      <c r="B7" s="5">
        <f t="shared" ref="B7:B45" si="0">+F7/F3-1</f>
        <v>-2.3845763571791023E-2</v>
      </c>
      <c r="C7" s="5">
        <f t="shared" ref="C7:C45" si="1">+N7/N3-1</f>
        <v>0.13864715189873422</v>
      </c>
      <c r="D7" s="5">
        <f t="shared" ref="D7:D45" si="2">+Q7/Q3-1</f>
        <v>6.8450039339102986E-2</v>
      </c>
      <c r="E7" s="5">
        <f t="shared" ref="E7:E45" si="3">+Z7/Z3-1</f>
        <v>4.9980322707595448E-2</v>
      </c>
      <c r="F7" s="4">
        <v>1924</v>
      </c>
      <c r="G7">
        <v>1889</v>
      </c>
      <c r="H7">
        <v>1346</v>
      </c>
      <c r="I7">
        <v>479</v>
      </c>
      <c r="J7">
        <v>2</v>
      </c>
      <c r="K7">
        <v>62</v>
      </c>
      <c r="L7">
        <v>23</v>
      </c>
      <c r="M7">
        <v>12</v>
      </c>
      <c r="N7" s="4">
        <v>5757</v>
      </c>
      <c r="O7">
        <v>2704</v>
      </c>
      <c r="P7">
        <v>3053</v>
      </c>
      <c r="Q7" s="4">
        <v>5432</v>
      </c>
      <c r="R7">
        <v>865</v>
      </c>
      <c r="S7">
        <v>635</v>
      </c>
      <c r="T7">
        <v>87</v>
      </c>
      <c r="U7">
        <v>238</v>
      </c>
      <c r="V7">
        <v>1002</v>
      </c>
      <c r="W7">
        <v>241</v>
      </c>
      <c r="X7">
        <v>340</v>
      </c>
      <c r="Y7">
        <v>1811</v>
      </c>
      <c r="Z7" s="4">
        <v>2668</v>
      </c>
      <c r="AA7">
        <v>1220</v>
      </c>
      <c r="AB7">
        <v>1341</v>
      </c>
      <c r="AC7">
        <v>107</v>
      </c>
    </row>
    <row r="8" spans="1:29" x14ac:dyDescent="0.25">
      <c r="A8" s="1">
        <v>26115</v>
      </c>
      <c r="B8" s="5">
        <f t="shared" si="0"/>
        <v>1.0813887307911108E-2</v>
      </c>
      <c r="C8" s="5">
        <f t="shared" si="1"/>
        <v>0.10355092494152673</v>
      </c>
      <c r="D8" s="5">
        <f t="shared" si="2"/>
        <v>0.10976325572295043</v>
      </c>
      <c r="E8" s="5">
        <f t="shared" si="3"/>
        <v>8.9896579156722334E-2</v>
      </c>
      <c r="F8" s="4">
        <v>1776</v>
      </c>
      <c r="G8">
        <v>1741</v>
      </c>
      <c r="H8">
        <v>634</v>
      </c>
      <c r="I8">
        <v>1039</v>
      </c>
      <c r="J8">
        <v>2</v>
      </c>
      <c r="K8">
        <v>66</v>
      </c>
      <c r="L8">
        <v>23</v>
      </c>
      <c r="M8">
        <v>12</v>
      </c>
      <c r="N8" s="4">
        <v>5190</v>
      </c>
      <c r="O8">
        <v>2681</v>
      </c>
      <c r="P8">
        <v>2509</v>
      </c>
      <c r="Q8" s="4">
        <v>5672</v>
      </c>
      <c r="R8">
        <v>891</v>
      </c>
      <c r="S8">
        <v>659</v>
      </c>
      <c r="T8">
        <v>89</v>
      </c>
      <c r="U8">
        <v>248</v>
      </c>
      <c r="V8">
        <v>1076</v>
      </c>
      <c r="W8">
        <v>249</v>
      </c>
      <c r="X8">
        <v>347</v>
      </c>
      <c r="Y8">
        <v>1882</v>
      </c>
      <c r="Z8" s="4">
        <v>2740</v>
      </c>
      <c r="AA8">
        <v>1247</v>
      </c>
      <c r="AB8">
        <v>1381</v>
      </c>
      <c r="AC8">
        <v>113</v>
      </c>
    </row>
    <row r="9" spans="1:29" x14ac:dyDescent="0.25">
      <c r="A9" s="1">
        <v>26207</v>
      </c>
      <c r="B9" s="5">
        <f t="shared" si="0"/>
        <v>2.4050632911392311E-2</v>
      </c>
      <c r="C9" s="5">
        <f t="shared" si="1"/>
        <v>-1.199563794983638E-2</v>
      </c>
      <c r="D9" s="5">
        <f t="shared" si="2"/>
        <v>0.15019305019305018</v>
      </c>
      <c r="E9" s="5">
        <f t="shared" si="3"/>
        <v>9.2410538733779024E-2</v>
      </c>
      <c r="F9" s="4">
        <v>1618</v>
      </c>
      <c r="G9">
        <v>1583</v>
      </c>
      <c r="H9">
        <v>778</v>
      </c>
      <c r="I9">
        <v>733</v>
      </c>
      <c r="J9">
        <v>2</v>
      </c>
      <c r="K9">
        <v>71</v>
      </c>
      <c r="L9">
        <v>23</v>
      </c>
      <c r="M9">
        <v>12</v>
      </c>
      <c r="N9" s="4">
        <v>5436</v>
      </c>
      <c r="O9">
        <v>2607</v>
      </c>
      <c r="P9">
        <v>2829</v>
      </c>
      <c r="Q9" s="4">
        <v>5958</v>
      </c>
      <c r="R9">
        <v>983</v>
      </c>
      <c r="S9">
        <v>665</v>
      </c>
      <c r="T9">
        <v>92</v>
      </c>
      <c r="U9">
        <v>255</v>
      </c>
      <c r="V9">
        <v>1149</v>
      </c>
      <c r="W9">
        <v>262</v>
      </c>
      <c r="X9">
        <v>341</v>
      </c>
      <c r="Y9">
        <v>1959</v>
      </c>
      <c r="Z9" s="4">
        <v>2778</v>
      </c>
      <c r="AA9">
        <v>1217</v>
      </c>
      <c r="AB9">
        <v>1414</v>
      </c>
      <c r="AC9">
        <v>147</v>
      </c>
    </row>
    <row r="10" spans="1:29" x14ac:dyDescent="0.25">
      <c r="A10" s="1">
        <v>26299</v>
      </c>
      <c r="B10" s="5">
        <f t="shared" si="0"/>
        <v>3.7347070186735332E-2</v>
      </c>
      <c r="C10" s="5">
        <f t="shared" si="1"/>
        <v>-9.4646079807499506E-2</v>
      </c>
      <c r="D10" s="5">
        <f t="shared" si="2"/>
        <v>8.8642078792958934E-2</v>
      </c>
      <c r="E10" s="5">
        <f t="shared" si="3"/>
        <v>6.6158781074578954E-2</v>
      </c>
      <c r="F10" s="4">
        <v>1611</v>
      </c>
      <c r="G10">
        <v>1576</v>
      </c>
      <c r="H10">
        <v>966</v>
      </c>
      <c r="I10">
        <v>559</v>
      </c>
      <c r="J10">
        <v>2</v>
      </c>
      <c r="K10">
        <v>49</v>
      </c>
      <c r="L10">
        <v>23</v>
      </c>
      <c r="M10">
        <v>12</v>
      </c>
      <c r="N10" s="4">
        <v>4515</v>
      </c>
      <c r="O10">
        <v>2581</v>
      </c>
      <c r="P10">
        <v>1934</v>
      </c>
      <c r="Q10" s="4">
        <v>5195</v>
      </c>
      <c r="R10">
        <v>920</v>
      </c>
      <c r="S10">
        <v>539</v>
      </c>
      <c r="T10">
        <v>80</v>
      </c>
      <c r="U10">
        <v>238</v>
      </c>
      <c r="V10">
        <v>1052</v>
      </c>
      <c r="W10">
        <v>222</v>
      </c>
      <c r="X10">
        <v>319</v>
      </c>
      <c r="Y10">
        <v>1625</v>
      </c>
      <c r="Z10" s="4">
        <v>2659</v>
      </c>
      <c r="AA10">
        <v>1128</v>
      </c>
      <c r="AB10">
        <v>1271</v>
      </c>
      <c r="AC10">
        <v>261</v>
      </c>
    </row>
    <row r="11" spans="1:29" x14ac:dyDescent="0.25">
      <c r="A11" s="1">
        <v>26390</v>
      </c>
      <c r="B11" s="5">
        <f t="shared" si="0"/>
        <v>-5.7692307692307709E-2</v>
      </c>
      <c r="C11" s="5">
        <f t="shared" si="1"/>
        <v>-9.4667361472989375E-2</v>
      </c>
      <c r="D11" s="5">
        <f t="shared" si="2"/>
        <v>7.5846833578792294E-2</v>
      </c>
      <c r="E11" s="5">
        <f t="shared" si="3"/>
        <v>3.4107946026986413E-2</v>
      </c>
      <c r="F11" s="4">
        <v>1813</v>
      </c>
      <c r="G11">
        <v>1778</v>
      </c>
      <c r="H11">
        <v>1237</v>
      </c>
      <c r="I11">
        <v>488</v>
      </c>
      <c r="J11">
        <v>2</v>
      </c>
      <c r="K11">
        <v>52</v>
      </c>
      <c r="L11">
        <v>23</v>
      </c>
      <c r="M11">
        <v>12</v>
      </c>
      <c r="N11" s="4">
        <v>5212</v>
      </c>
      <c r="O11">
        <v>2578</v>
      </c>
      <c r="P11">
        <v>2633</v>
      </c>
      <c r="Q11" s="4">
        <v>5844</v>
      </c>
      <c r="R11">
        <v>887</v>
      </c>
      <c r="S11">
        <v>675</v>
      </c>
      <c r="T11">
        <v>91</v>
      </c>
      <c r="U11">
        <v>260</v>
      </c>
      <c r="V11">
        <v>1111</v>
      </c>
      <c r="W11">
        <v>249</v>
      </c>
      <c r="X11">
        <v>374</v>
      </c>
      <c r="Y11">
        <v>1960</v>
      </c>
      <c r="Z11" s="4">
        <v>2759</v>
      </c>
      <c r="AA11">
        <v>1240</v>
      </c>
      <c r="AB11">
        <v>1409</v>
      </c>
      <c r="AC11">
        <v>110</v>
      </c>
    </row>
    <row r="12" spans="1:29" x14ac:dyDescent="0.25">
      <c r="A12" s="1">
        <v>26481</v>
      </c>
      <c r="B12" s="5">
        <f t="shared" si="0"/>
        <v>5.5180180180180116E-2</v>
      </c>
      <c r="C12" s="5">
        <f t="shared" si="1"/>
        <v>-2.2157996146435432E-2</v>
      </c>
      <c r="D12" s="5">
        <f t="shared" si="2"/>
        <v>5.2009873060648859E-2</v>
      </c>
      <c r="E12" s="5">
        <f t="shared" si="3"/>
        <v>1.642335766423364E-2</v>
      </c>
      <c r="F12" s="4">
        <v>1874</v>
      </c>
      <c r="G12">
        <v>1839</v>
      </c>
      <c r="H12">
        <v>673</v>
      </c>
      <c r="I12">
        <v>1110</v>
      </c>
      <c r="J12">
        <v>2</v>
      </c>
      <c r="K12">
        <v>54</v>
      </c>
      <c r="L12">
        <v>23</v>
      </c>
      <c r="M12">
        <v>12</v>
      </c>
      <c r="N12" s="4">
        <v>5075</v>
      </c>
      <c r="O12">
        <v>2573</v>
      </c>
      <c r="P12">
        <v>2502</v>
      </c>
      <c r="Q12" s="4">
        <v>5967</v>
      </c>
      <c r="R12">
        <v>918</v>
      </c>
      <c r="S12">
        <v>698</v>
      </c>
      <c r="T12">
        <v>90</v>
      </c>
      <c r="U12">
        <v>244</v>
      </c>
      <c r="V12">
        <v>1138</v>
      </c>
      <c r="W12">
        <v>254</v>
      </c>
      <c r="X12">
        <v>394</v>
      </c>
      <c r="Y12">
        <v>1990</v>
      </c>
      <c r="Z12" s="4">
        <v>2785</v>
      </c>
      <c r="AA12">
        <v>1246</v>
      </c>
      <c r="AB12">
        <v>1421</v>
      </c>
      <c r="AC12">
        <v>119</v>
      </c>
    </row>
    <row r="13" spans="1:29" x14ac:dyDescent="0.25">
      <c r="A13" s="1">
        <v>26573</v>
      </c>
      <c r="B13" s="5">
        <f t="shared" si="0"/>
        <v>2.9666254635352329E-2</v>
      </c>
      <c r="C13" s="5">
        <f t="shared" si="1"/>
        <v>0.17071376011773354</v>
      </c>
      <c r="D13" s="5">
        <f t="shared" si="2"/>
        <v>2.8868747901980463E-2</v>
      </c>
      <c r="E13" s="5">
        <f t="shared" si="3"/>
        <v>3.3477321814254779E-2</v>
      </c>
      <c r="F13" s="4">
        <v>1666</v>
      </c>
      <c r="G13">
        <v>1631</v>
      </c>
      <c r="H13">
        <v>810</v>
      </c>
      <c r="I13">
        <v>764</v>
      </c>
      <c r="J13">
        <v>2</v>
      </c>
      <c r="K13">
        <v>54</v>
      </c>
      <c r="L13">
        <v>23</v>
      </c>
      <c r="M13">
        <v>12</v>
      </c>
      <c r="N13" s="4">
        <v>6364</v>
      </c>
      <c r="O13">
        <v>2507</v>
      </c>
      <c r="P13">
        <v>3857</v>
      </c>
      <c r="Q13" s="4">
        <v>6130</v>
      </c>
      <c r="R13">
        <v>954</v>
      </c>
      <c r="S13">
        <v>688</v>
      </c>
      <c r="T13">
        <v>94</v>
      </c>
      <c r="U13">
        <v>248</v>
      </c>
      <c r="V13">
        <v>1144</v>
      </c>
      <c r="W13">
        <v>263</v>
      </c>
      <c r="X13">
        <v>397</v>
      </c>
      <c r="Y13">
        <v>2092</v>
      </c>
      <c r="Z13" s="4">
        <v>2871</v>
      </c>
      <c r="AA13">
        <v>1271</v>
      </c>
      <c r="AB13">
        <v>1449</v>
      </c>
      <c r="AC13">
        <v>152</v>
      </c>
    </row>
    <row r="14" spans="1:29" x14ac:dyDescent="0.25">
      <c r="A14" s="1">
        <v>26665</v>
      </c>
      <c r="B14" s="5">
        <f t="shared" si="0"/>
        <v>6.7039106145251326E-2</v>
      </c>
      <c r="C14" s="5">
        <f t="shared" si="1"/>
        <v>5.7142857142857162E-2</v>
      </c>
      <c r="D14" s="5">
        <f t="shared" si="2"/>
        <v>7.3724735322425516E-2</v>
      </c>
      <c r="E14" s="5">
        <f t="shared" si="3"/>
        <v>3.196690485144793E-2</v>
      </c>
      <c r="F14" s="4">
        <v>1719</v>
      </c>
      <c r="G14">
        <v>1679</v>
      </c>
      <c r="H14">
        <v>1035</v>
      </c>
      <c r="I14">
        <v>596</v>
      </c>
      <c r="J14">
        <v>2</v>
      </c>
      <c r="K14">
        <v>46</v>
      </c>
      <c r="L14">
        <v>24</v>
      </c>
      <c r="M14">
        <v>16</v>
      </c>
      <c r="N14" s="4">
        <v>4773</v>
      </c>
      <c r="O14">
        <v>2515</v>
      </c>
      <c r="P14">
        <v>2258</v>
      </c>
      <c r="Q14" s="4">
        <v>5578</v>
      </c>
      <c r="R14">
        <v>951</v>
      </c>
      <c r="S14">
        <v>595</v>
      </c>
      <c r="T14">
        <v>85</v>
      </c>
      <c r="U14">
        <v>230</v>
      </c>
      <c r="V14">
        <v>1112</v>
      </c>
      <c r="W14">
        <v>223</v>
      </c>
      <c r="X14">
        <v>352</v>
      </c>
      <c r="Y14">
        <v>1320</v>
      </c>
      <c r="Z14" s="4">
        <v>2744</v>
      </c>
      <c r="AA14">
        <v>1127</v>
      </c>
      <c r="AB14">
        <v>1331</v>
      </c>
      <c r="AC14">
        <v>286</v>
      </c>
    </row>
    <row r="15" spans="1:29" x14ac:dyDescent="0.25">
      <c r="A15" s="1">
        <v>26755</v>
      </c>
      <c r="B15" s="5">
        <f t="shared" si="0"/>
        <v>0.17539988968560394</v>
      </c>
      <c r="C15" s="5">
        <f t="shared" si="1"/>
        <v>-0.14888718342287033</v>
      </c>
      <c r="D15" s="5">
        <f t="shared" si="2"/>
        <v>6.6050650239561914E-2</v>
      </c>
      <c r="E15" s="5">
        <f t="shared" si="3"/>
        <v>2.5371511417180193E-2</v>
      </c>
      <c r="F15" s="4">
        <v>2131</v>
      </c>
      <c r="G15">
        <v>2091</v>
      </c>
      <c r="H15">
        <v>1530</v>
      </c>
      <c r="I15">
        <v>508</v>
      </c>
      <c r="J15">
        <v>2</v>
      </c>
      <c r="K15">
        <v>50</v>
      </c>
      <c r="L15">
        <v>24</v>
      </c>
      <c r="M15">
        <v>16</v>
      </c>
      <c r="N15" s="4">
        <v>4436</v>
      </c>
      <c r="O15">
        <v>2416</v>
      </c>
      <c r="P15">
        <v>2021</v>
      </c>
      <c r="Q15" s="4">
        <v>6230</v>
      </c>
      <c r="R15">
        <v>904</v>
      </c>
      <c r="S15">
        <v>707</v>
      </c>
      <c r="T15">
        <v>95</v>
      </c>
      <c r="U15">
        <v>245</v>
      </c>
      <c r="V15">
        <v>1178</v>
      </c>
      <c r="W15">
        <v>245</v>
      </c>
      <c r="X15">
        <v>409</v>
      </c>
      <c r="Y15">
        <v>2198</v>
      </c>
      <c r="Z15" s="4">
        <v>2829</v>
      </c>
      <c r="AA15">
        <v>1249</v>
      </c>
      <c r="AB15">
        <v>1469</v>
      </c>
      <c r="AC15">
        <v>111</v>
      </c>
    </row>
    <row r="16" spans="1:29" x14ac:dyDescent="0.25">
      <c r="A16" s="1">
        <v>26846</v>
      </c>
      <c r="B16" s="5">
        <f t="shared" si="0"/>
        <v>6.6168623265741688E-2</v>
      </c>
      <c r="C16" s="5">
        <f t="shared" si="1"/>
        <v>-0.19960591133004923</v>
      </c>
      <c r="D16" s="5">
        <f t="shared" si="2"/>
        <v>4.6086810792693056E-2</v>
      </c>
      <c r="E16" s="5">
        <f t="shared" si="3"/>
        <v>-8.9766606822262451E-3</v>
      </c>
      <c r="F16" s="4">
        <v>1998</v>
      </c>
      <c r="G16">
        <v>1958</v>
      </c>
      <c r="H16">
        <v>762</v>
      </c>
      <c r="I16">
        <v>1143</v>
      </c>
      <c r="J16">
        <v>2</v>
      </c>
      <c r="K16">
        <v>52</v>
      </c>
      <c r="L16">
        <v>24</v>
      </c>
      <c r="M16">
        <v>16</v>
      </c>
      <c r="N16" s="4">
        <v>4062</v>
      </c>
      <c r="O16">
        <v>2288</v>
      </c>
      <c r="P16">
        <v>1774</v>
      </c>
      <c r="Q16" s="4">
        <v>6242</v>
      </c>
      <c r="R16">
        <v>927</v>
      </c>
      <c r="S16">
        <v>715</v>
      </c>
      <c r="T16">
        <v>87</v>
      </c>
      <c r="U16">
        <v>247</v>
      </c>
      <c r="V16">
        <v>1187</v>
      </c>
      <c r="W16">
        <v>244</v>
      </c>
      <c r="X16">
        <v>406</v>
      </c>
      <c r="Y16">
        <v>2181</v>
      </c>
      <c r="Z16" s="4">
        <v>2760</v>
      </c>
      <c r="AA16">
        <v>1204</v>
      </c>
      <c r="AB16">
        <v>1435</v>
      </c>
      <c r="AC16">
        <v>121</v>
      </c>
    </row>
    <row r="17" spans="1:29" x14ac:dyDescent="0.25">
      <c r="A17" s="1">
        <v>26938</v>
      </c>
      <c r="B17" s="5">
        <f t="shared" si="0"/>
        <v>9.6638655462184975E-2</v>
      </c>
      <c r="C17" s="5">
        <f t="shared" si="1"/>
        <v>-0.14927718416090507</v>
      </c>
      <c r="D17" s="5">
        <f t="shared" si="2"/>
        <v>6.9494290375203827E-2</v>
      </c>
      <c r="E17" s="5">
        <f t="shared" si="3"/>
        <v>5.8516196447230939E-2</v>
      </c>
      <c r="F17" s="4">
        <v>1827</v>
      </c>
      <c r="G17">
        <v>1787</v>
      </c>
      <c r="H17">
        <v>912</v>
      </c>
      <c r="I17">
        <v>820</v>
      </c>
      <c r="J17">
        <v>2</v>
      </c>
      <c r="K17">
        <v>53</v>
      </c>
      <c r="L17">
        <v>24</v>
      </c>
      <c r="M17">
        <v>16</v>
      </c>
      <c r="N17" s="4">
        <v>5414</v>
      </c>
      <c r="O17">
        <v>2323</v>
      </c>
      <c r="P17">
        <v>3091</v>
      </c>
      <c r="Q17" s="4">
        <v>6556</v>
      </c>
      <c r="R17">
        <v>1023</v>
      </c>
      <c r="S17">
        <v>745</v>
      </c>
      <c r="T17">
        <v>92</v>
      </c>
      <c r="U17">
        <v>251</v>
      </c>
      <c r="V17">
        <v>1253</v>
      </c>
      <c r="W17">
        <v>251</v>
      </c>
      <c r="X17">
        <v>405</v>
      </c>
      <c r="Y17">
        <v>2273</v>
      </c>
      <c r="Z17" s="4">
        <v>3039</v>
      </c>
      <c r="AA17">
        <v>1354</v>
      </c>
      <c r="AB17">
        <v>1527</v>
      </c>
      <c r="AC17">
        <v>159</v>
      </c>
    </row>
    <row r="18" spans="1:29" x14ac:dyDescent="0.25">
      <c r="A18" s="1">
        <v>27030</v>
      </c>
      <c r="B18" s="5">
        <f t="shared" si="0"/>
        <v>9.3077370564281559E-2</v>
      </c>
      <c r="C18" s="5">
        <f t="shared" si="1"/>
        <v>2.5350932327676601E-2</v>
      </c>
      <c r="D18" s="5">
        <f t="shared" si="2"/>
        <v>3.1731803513804335E-2</v>
      </c>
      <c r="E18" s="5">
        <f t="shared" si="3"/>
        <v>3.1705539358600543E-2</v>
      </c>
      <c r="F18" s="4">
        <v>1879</v>
      </c>
      <c r="G18">
        <v>1839</v>
      </c>
      <c r="H18">
        <v>1139</v>
      </c>
      <c r="I18">
        <v>629</v>
      </c>
      <c r="J18">
        <v>2</v>
      </c>
      <c r="K18">
        <v>68</v>
      </c>
      <c r="L18">
        <v>24</v>
      </c>
      <c r="M18">
        <v>16</v>
      </c>
      <c r="N18" s="4">
        <v>4894</v>
      </c>
      <c r="O18">
        <v>2344</v>
      </c>
      <c r="P18">
        <v>2550</v>
      </c>
      <c r="Q18" s="4">
        <v>5755</v>
      </c>
      <c r="R18">
        <v>1005</v>
      </c>
      <c r="S18">
        <v>653</v>
      </c>
      <c r="T18">
        <v>85</v>
      </c>
      <c r="U18">
        <v>238</v>
      </c>
      <c r="V18">
        <v>1116</v>
      </c>
      <c r="W18">
        <v>219</v>
      </c>
      <c r="X18">
        <v>386</v>
      </c>
      <c r="Y18">
        <v>1848</v>
      </c>
      <c r="Z18" s="4">
        <v>2831</v>
      </c>
      <c r="AA18">
        <v>1155</v>
      </c>
      <c r="AB18">
        <v>1374</v>
      </c>
      <c r="AC18">
        <v>302</v>
      </c>
    </row>
    <row r="19" spans="1:29" x14ac:dyDescent="0.25">
      <c r="A19" s="1">
        <v>27120</v>
      </c>
      <c r="B19" s="5">
        <f t="shared" si="0"/>
        <v>4.7864852182074147E-2</v>
      </c>
      <c r="C19" s="5">
        <f t="shared" si="1"/>
        <v>3.6519386834986456E-2</v>
      </c>
      <c r="D19" s="5">
        <f t="shared" si="2"/>
        <v>7.3354735152487915E-2</v>
      </c>
      <c r="E19" s="5">
        <f t="shared" si="3"/>
        <v>9.4379639448568309E-2</v>
      </c>
      <c r="F19" s="4">
        <v>2233</v>
      </c>
      <c r="G19">
        <v>2192</v>
      </c>
      <c r="H19">
        <v>1591</v>
      </c>
      <c r="I19">
        <v>532</v>
      </c>
      <c r="J19">
        <v>2</v>
      </c>
      <c r="K19">
        <v>67</v>
      </c>
      <c r="L19">
        <v>24</v>
      </c>
      <c r="M19">
        <v>16</v>
      </c>
      <c r="N19" s="4">
        <v>4598</v>
      </c>
      <c r="O19">
        <v>2480</v>
      </c>
      <c r="P19">
        <v>2119</v>
      </c>
      <c r="Q19" s="4">
        <v>6687</v>
      </c>
      <c r="R19">
        <v>1008</v>
      </c>
      <c r="S19">
        <v>783</v>
      </c>
      <c r="T19">
        <v>97</v>
      </c>
      <c r="U19">
        <v>262</v>
      </c>
      <c r="V19">
        <v>1223</v>
      </c>
      <c r="W19">
        <v>257</v>
      </c>
      <c r="X19">
        <v>433</v>
      </c>
      <c r="Y19">
        <v>2378</v>
      </c>
      <c r="Z19" s="4">
        <v>3096</v>
      </c>
      <c r="AA19">
        <v>1386</v>
      </c>
      <c r="AB19">
        <v>1587</v>
      </c>
      <c r="AC19">
        <v>123</v>
      </c>
    </row>
    <row r="20" spans="1:29" x14ac:dyDescent="0.25">
      <c r="A20" s="1">
        <v>27211</v>
      </c>
      <c r="B20" s="5">
        <f t="shared" si="0"/>
        <v>3.5535535535535567E-2</v>
      </c>
      <c r="C20" s="5">
        <f t="shared" si="1"/>
        <v>0.14057114721811925</v>
      </c>
      <c r="D20" s="5">
        <f t="shared" si="2"/>
        <v>6.4722845241909743E-2</v>
      </c>
      <c r="E20" s="5">
        <f t="shared" si="3"/>
        <v>0.10144927536231885</v>
      </c>
      <c r="F20" s="4">
        <v>2069</v>
      </c>
      <c r="G20">
        <v>2029</v>
      </c>
      <c r="H20">
        <v>785</v>
      </c>
      <c r="I20">
        <v>1170</v>
      </c>
      <c r="J20">
        <v>2</v>
      </c>
      <c r="K20">
        <v>72</v>
      </c>
      <c r="L20">
        <v>24</v>
      </c>
      <c r="M20">
        <v>16</v>
      </c>
      <c r="N20" s="4">
        <v>4633</v>
      </c>
      <c r="O20">
        <v>2662</v>
      </c>
      <c r="P20">
        <v>1971</v>
      </c>
      <c r="Q20" s="4">
        <v>6646</v>
      </c>
      <c r="R20">
        <v>994</v>
      </c>
      <c r="S20">
        <v>806</v>
      </c>
      <c r="T20">
        <v>98</v>
      </c>
      <c r="U20">
        <v>271</v>
      </c>
      <c r="V20">
        <v>1232</v>
      </c>
      <c r="W20">
        <v>261</v>
      </c>
      <c r="X20">
        <v>437</v>
      </c>
      <c r="Y20">
        <v>2295</v>
      </c>
      <c r="Z20" s="4">
        <v>3040</v>
      </c>
      <c r="AA20">
        <v>1357</v>
      </c>
      <c r="AB20">
        <v>1551</v>
      </c>
      <c r="AC20">
        <v>133</v>
      </c>
    </row>
    <row r="21" spans="1:29" x14ac:dyDescent="0.25">
      <c r="A21" s="1">
        <v>27303</v>
      </c>
      <c r="B21" s="5">
        <f t="shared" si="0"/>
        <v>3.284072249589487E-3</v>
      </c>
      <c r="C21" s="5">
        <f t="shared" si="1"/>
        <v>0.11581086073143698</v>
      </c>
      <c r="D21" s="5">
        <f t="shared" si="2"/>
        <v>7.001220256253804E-2</v>
      </c>
      <c r="E21" s="5">
        <f t="shared" si="3"/>
        <v>9.9374794340243433E-2</v>
      </c>
      <c r="F21" s="4">
        <v>1833</v>
      </c>
      <c r="G21">
        <v>1792</v>
      </c>
      <c r="H21">
        <v>908</v>
      </c>
      <c r="I21">
        <v>812</v>
      </c>
      <c r="J21">
        <v>2</v>
      </c>
      <c r="K21">
        <v>70</v>
      </c>
      <c r="L21">
        <v>24</v>
      </c>
      <c r="M21">
        <v>16</v>
      </c>
      <c r="N21" s="4">
        <v>6041</v>
      </c>
      <c r="O21">
        <v>2873</v>
      </c>
      <c r="P21">
        <v>3168</v>
      </c>
      <c r="Q21" s="4">
        <v>7015</v>
      </c>
      <c r="R21">
        <v>1019</v>
      </c>
      <c r="S21">
        <v>839</v>
      </c>
      <c r="T21">
        <v>98</v>
      </c>
      <c r="U21">
        <v>287</v>
      </c>
      <c r="V21">
        <v>1280</v>
      </c>
      <c r="W21">
        <v>272</v>
      </c>
      <c r="X21">
        <v>453</v>
      </c>
      <c r="Y21">
        <v>2497</v>
      </c>
      <c r="Z21" s="4">
        <v>3341</v>
      </c>
      <c r="AA21">
        <v>1525</v>
      </c>
      <c r="AB21">
        <v>1647</v>
      </c>
      <c r="AC21">
        <v>170</v>
      </c>
    </row>
    <row r="22" spans="1:29" x14ac:dyDescent="0.25">
      <c r="A22" s="1">
        <v>27395</v>
      </c>
      <c r="B22" s="5">
        <f t="shared" si="0"/>
        <v>-6.9185737094199506E-3</v>
      </c>
      <c r="C22" s="5">
        <f t="shared" si="1"/>
        <v>1.9411524315488426E-2</v>
      </c>
      <c r="D22" s="5">
        <f t="shared" si="2"/>
        <v>2.8670721112076469E-2</v>
      </c>
      <c r="E22" s="5">
        <f t="shared" si="3"/>
        <v>7.4885199576121497E-2</v>
      </c>
      <c r="F22" s="4">
        <v>1866</v>
      </c>
      <c r="G22">
        <v>1829</v>
      </c>
      <c r="H22">
        <v>1144</v>
      </c>
      <c r="I22">
        <v>628</v>
      </c>
      <c r="J22">
        <v>2</v>
      </c>
      <c r="K22">
        <v>54</v>
      </c>
      <c r="L22">
        <v>25</v>
      </c>
      <c r="M22">
        <v>12</v>
      </c>
      <c r="N22" s="4">
        <v>4989</v>
      </c>
      <c r="O22">
        <v>3015</v>
      </c>
      <c r="P22">
        <v>1974</v>
      </c>
      <c r="Q22" s="4">
        <v>5920</v>
      </c>
      <c r="R22">
        <v>1012</v>
      </c>
      <c r="S22">
        <v>711</v>
      </c>
      <c r="T22">
        <v>88</v>
      </c>
      <c r="U22">
        <v>257</v>
      </c>
      <c r="V22">
        <v>1159</v>
      </c>
      <c r="W22">
        <v>236</v>
      </c>
      <c r="X22">
        <v>396</v>
      </c>
      <c r="Y22">
        <v>1858</v>
      </c>
      <c r="Z22" s="4">
        <v>3043</v>
      </c>
      <c r="AA22">
        <v>1291</v>
      </c>
      <c r="AB22">
        <v>1435</v>
      </c>
      <c r="AC22">
        <v>317</v>
      </c>
    </row>
    <row r="23" spans="1:29" x14ac:dyDescent="0.25">
      <c r="A23" s="1">
        <v>27485</v>
      </c>
      <c r="B23" s="5">
        <f t="shared" si="0"/>
        <v>-4.9261083743842415E-2</v>
      </c>
      <c r="C23" s="5">
        <f t="shared" si="1"/>
        <v>4.7846889952152249E-3</v>
      </c>
      <c r="D23" s="5">
        <f t="shared" si="2"/>
        <v>1.4356213548676555E-2</v>
      </c>
      <c r="E23" s="5">
        <f t="shared" si="3"/>
        <v>2.8746770025839696E-2</v>
      </c>
      <c r="F23" s="4">
        <v>2123</v>
      </c>
      <c r="G23">
        <v>2086</v>
      </c>
      <c r="H23">
        <v>1472</v>
      </c>
      <c r="I23">
        <v>549</v>
      </c>
      <c r="J23">
        <v>2</v>
      </c>
      <c r="K23">
        <v>62</v>
      </c>
      <c r="L23">
        <v>25</v>
      </c>
      <c r="M23">
        <v>12</v>
      </c>
      <c r="N23" s="4">
        <v>4620</v>
      </c>
      <c r="O23">
        <v>3161</v>
      </c>
      <c r="P23">
        <v>1459</v>
      </c>
      <c r="Q23" s="4">
        <v>6783</v>
      </c>
      <c r="R23">
        <v>984</v>
      </c>
      <c r="S23">
        <v>839</v>
      </c>
      <c r="T23">
        <v>96</v>
      </c>
      <c r="U23">
        <v>272</v>
      </c>
      <c r="V23">
        <v>1245</v>
      </c>
      <c r="W23">
        <v>267</v>
      </c>
      <c r="X23">
        <v>513</v>
      </c>
      <c r="Y23">
        <v>2319</v>
      </c>
      <c r="Z23" s="4">
        <v>3185</v>
      </c>
      <c r="AA23">
        <v>1441</v>
      </c>
      <c r="AB23">
        <v>1617</v>
      </c>
      <c r="AC23">
        <v>127</v>
      </c>
    </row>
    <row r="24" spans="1:29" x14ac:dyDescent="0.25">
      <c r="A24" s="1">
        <v>27576</v>
      </c>
      <c r="B24" s="5">
        <f t="shared" si="0"/>
        <v>3.383276945384317E-3</v>
      </c>
      <c r="C24" s="5">
        <f t="shared" si="1"/>
        <v>1.6404057845888165E-2</v>
      </c>
      <c r="D24" s="5">
        <f t="shared" si="2"/>
        <v>-5.5522118567559398E-2</v>
      </c>
      <c r="E24" s="5">
        <f t="shared" si="3"/>
        <v>-3.3881578947368429E-2</v>
      </c>
      <c r="F24" s="4">
        <v>2076</v>
      </c>
      <c r="G24">
        <v>2039</v>
      </c>
      <c r="H24">
        <v>790</v>
      </c>
      <c r="I24">
        <v>1191</v>
      </c>
      <c r="J24">
        <v>2</v>
      </c>
      <c r="K24">
        <v>56</v>
      </c>
      <c r="L24">
        <v>25</v>
      </c>
      <c r="M24">
        <v>12</v>
      </c>
      <c r="N24" s="4">
        <v>4709</v>
      </c>
      <c r="O24">
        <v>3181</v>
      </c>
      <c r="P24">
        <v>1528</v>
      </c>
      <c r="Q24" s="4">
        <v>6277</v>
      </c>
      <c r="R24">
        <v>996</v>
      </c>
      <c r="S24">
        <v>823</v>
      </c>
      <c r="T24">
        <v>76</v>
      </c>
      <c r="U24">
        <v>252</v>
      </c>
      <c r="V24">
        <v>1215</v>
      </c>
      <c r="W24">
        <v>252</v>
      </c>
      <c r="X24">
        <v>388</v>
      </c>
      <c r="Y24">
        <v>2036</v>
      </c>
      <c r="Z24" s="4">
        <v>2937</v>
      </c>
      <c r="AA24">
        <v>1311</v>
      </c>
      <c r="AB24">
        <v>1499</v>
      </c>
      <c r="AC24">
        <v>127</v>
      </c>
    </row>
    <row r="25" spans="1:29" x14ac:dyDescent="0.25">
      <c r="A25" s="1">
        <v>27668</v>
      </c>
      <c r="B25" s="5">
        <f t="shared" si="0"/>
        <v>-3.818876159301654E-3</v>
      </c>
      <c r="C25" s="5">
        <f t="shared" si="1"/>
        <v>0.1210064558847872</v>
      </c>
      <c r="D25" s="5">
        <f t="shared" si="2"/>
        <v>-8.8952245188881007E-2</v>
      </c>
      <c r="E25" s="5">
        <f t="shared" si="3"/>
        <v>-9.6976953008081401E-2</v>
      </c>
      <c r="F25" s="4">
        <v>1826</v>
      </c>
      <c r="G25">
        <v>1789</v>
      </c>
      <c r="H25">
        <v>911</v>
      </c>
      <c r="I25">
        <v>818</v>
      </c>
      <c r="J25">
        <v>2</v>
      </c>
      <c r="K25">
        <v>59</v>
      </c>
      <c r="L25">
        <v>25</v>
      </c>
      <c r="M25">
        <v>12</v>
      </c>
      <c r="N25" s="4">
        <v>6772</v>
      </c>
      <c r="O25">
        <v>3151</v>
      </c>
      <c r="P25">
        <v>3621</v>
      </c>
      <c r="Q25" s="4">
        <v>6391</v>
      </c>
      <c r="R25">
        <v>992</v>
      </c>
      <c r="S25">
        <v>847</v>
      </c>
      <c r="T25">
        <v>70</v>
      </c>
      <c r="U25">
        <v>268</v>
      </c>
      <c r="V25">
        <v>1233</v>
      </c>
      <c r="W25">
        <v>260</v>
      </c>
      <c r="X25">
        <v>380</v>
      </c>
      <c r="Y25">
        <v>2095</v>
      </c>
      <c r="Z25" s="4">
        <v>3017</v>
      </c>
      <c r="AA25">
        <v>1316</v>
      </c>
      <c r="AB25">
        <v>1525</v>
      </c>
      <c r="AC25">
        <v>176</v>
      </c>
    </row>
    <row r="26" spans="1:29" x14ac:dyDescent="0.25">
      <c r="A26" s="1">
        <v>27760</v>
      </c>
      <c r="B26" s="5">
        <f t="shared" si="0"/>
        <v>8.2529474812433001E-2</v>
      </c>
      <c r="C26" s="5">
        <f t="shared" si="1"/>
        <v>6.3740228502705998E-2</v>
      </c>
      <c r="D26" s="5">
        <f t="shared" si="2"/>
        <v>-6.739864864864864E-2</v>
      </c>
      <c r="E26" s="5">
        <f t="shared" si="3"/>
        <v>-7.9526782780151128E-2</v>
      </c>
      <c r="F26" s="4">
        <v>2020</v>
      </c>
      <c r="G26">
        <v>1979</v>
      </c>
      <c r="H26">
        <v>1282</v>
      </c>
      <c r="I26">
        <v>647</v>
      </c>
      <c r="J26">
        <v>2</v>
      </c>
      <c r="K26">
        <v>48</v>
      </c>
      <c r="L26">
        <v>26</v>
      </c>
      <c r="M26">
        <v>16</v>
      </c>
      <c r="N26" s="4">
        <v>5307</v>
      </c>
      <c r="O26">
        <v>3180</v>
      </c>
      <c r="P26">
        <v>2128</v>
      </c>
      <c r="Q26" s="4">
        <v>5521</v>
      </c>
      <c r="R26">
        <v>1000</v>
      </c>
      <c r="S26">
        <v>730</v>
      </c>
      <c r="T26">
        <v>65</v>
      </c>
      <c r="U26">
        <v>230</v>
      </c>
      <c r="V26">
        <v>1137</v>
      </c>
      <c r="W26">
        <v>228</v>
      </c>
      <c r="X26">
        <v>295</v>
      </c>
      <c r="Y26">
        <v>1634</v>
      </c>
      <c r="Z26" s="4">
        <v>2801</v>
      </c>
      <c r="AA26">
        <v>1105</v>
      </c>
      <c r="AB26">
        <v>1346</v>
      </c>
      <c r="AC26">
        <v>349</v>
      </c>
    </row>
    <row r="27" spans="1:29" x14ac:dyDescent="0.25">
      <c r="A27" s="1">
        <v>27851</v>
      </c>
      <c r="B27" s="5">
        <f t="shared" si="0"/>
        <v>-3.7682524729156786E-3</v>
      </c>
      <c r="C27" s="5">
        <f t="shared" si="1"/>
        <v>0.31883116883116891</v>
      </c>
      <c r="D27" s="5">
        <f t="shared" si="2"/>
        <v>-6.3246351172047799E-2</v>
      </c>
      <c r="E27" s="5">
        <f t="shared" si="3"/>
        <v>-9.3877551020408179E-2</v>
      </c>
      <c r="F27" s="4">
        <v>2115</v>
      </c>
      <c r="G27">
        <v>2073</v>
      </c>
      <c r="H27">
        <v>1484</v>
      </c>
      <c r="I27">
        <v>533</v>
      </c>
      <c r="J27">
        <v>2</v>
      </c>
      <c r="K27">
        <v>55</v>
      </c>
      <c r="L27">
        <v>26</v>
      </c>
      <c r="M27">
        <v>16</v>
      </c>
      <c r="N27" s="4">
        <v>6093</v>
      </c>
      <c r="O27">
        <v>3070</v>
      </c>
      <c r="P27">
        <v>3023</v>
      </c>
      <c r="Q27" s="4">
        <v>6354</v>
      </c>
      <c r="R27">
        <v>1039</v>
      </c>
      <c r="S27">
        <v>793</v>
      </c>
      <c r="T27">
        <v>62</v>
      </c>
      <c r="U27">
        <v>251</v>
      </c>
      <c r="V27">
        <v>1239</v>
      </c>
      <c r="W27">
        <v>243</v>
      </c>
      <c r="X27">
        <v>358</v>
      </c>
      <c r="Y27">
        <v>2131</v>
      </c>
      <c r="Z27" s="4">
        <v>2886</v>
      </c>
      <c r="AA27">
        <v>1245</v>
      </c>
      <c r="AB27">
        <v>1525</v>
      </c>
      <c r="AC27">
        <v>116</v>
      </c>
    </row>
    <row r="28" spans="1:29" x14ac:dyDescent="0.25">
      <c r="A28" s="1">
        <v>27942</v>
      </c>
      <c r="B28" s="5">
        <f t="shared" si="0"/>
        <v>3.0346820809248554E-2</v>
      </c>
      <c r="C28" s="5">
        <f t="shared" si="1"/>
        <v>0.27415587173497569</v>
      </c>
      <c r="D28" s="5">
        <f t="shared" si="2"/>
        <v>-2.8676119165206293E-2</v>
      </c>
      <c r="E28" s="5">
        <f t="shared" si="3"/>
        <v>-2.5536261491317713E-2</v>
      </c>
      <c r="F28" s="4">
        <v>2139</v>
      </c>
      <c r="G28">
        <v>2098</v>
      </c>
      <c r="H28">
        <v>827</v>
      </c>
      <c r="I28">
        <v>1213</v>
      </c>
      <c r="J28">
        <v>2</v>
      </c>
      <c r="K28">
        <v>56</v>
      </c>
      <c r="L28">
        <v>26</v>
      </c>
      <c r="M28">
        <v>16</v>
      </c>
      <c r="N28" s="4">
        <v>6000</v>
      </c>
      <c r="O28">
        <v>2966</v>
      </c>
      <c r="P28">
        <v>3034</v>
      </c>
      <c r="Q28" s="4">
        <v>6097</v>
      </c>
      <c r="R28">
        <v>985</v>
      </c>
      <c r="S28">
        <v>773</v>
      </c>
      <c r="T28">
        <v>56</v>
      </c>
      <c r="U28">
        <v>244</v>
      </c>
      <c r="V28">
        <v>1214</v>
      </c>
      <c r="W28">
        <v>243</v>
      </c>
      <c r="X28">
        <v>311</v>
      </c>
      <c r="Y28">
        <v>2048</v>
      </c>
      <c r="Z28" s="4">
        <v>2862</v>
      </c>
      <c r="AA28">
        <v>1267</v>
      </c>
      <c r="AB28">
        <v>1470</v>
      </c>
      <c r="AC28">
        <v>126</v>
      </c>
    </row>
    <row r="29" spans="1:29" x14ac:dyDescent="0.25">
      <c r="A29" s="1">
        <v>28034</v>
      </c>
      <c r="B29" s="5">
        <f t="shared" si="0"/>
        <v>5.8598028477546471E-2</v>
      </c>
      <c r="C29" s="5">
        <f t="shared" si="1"/>
        <v>-6.4678086237448307E-2</v>
      </c>
      <c r="D29" s="5">
        <f t="shared" si="2"/>
        <v>-1.9871694570489762E-2</v>
      </c>
      <c r="E29" s="5">
        <f t="shared" si="3"/>
        <v>-2.7179317202519093E-2</v>
      </c>
      <c r="F29" s="4">
        <v>1933</v>
      </c>
      <c r="G29">
        <v>1892</v>
      </c>
      <c r="H29">
        <v>1003</v>
      </c>
      <c r="I29">
        <v>830</v>
      </c>
      <c r="J29">
        <v>2</v>
      </c>
      <c r="K29">
        <v>56</v>
      </c>
      <c r="L29">
        <v>26</v>
      </c>
      <c r="M29">
        <v>16</v>
      </c>
      <c r="N29" s="4">
        <v>6334</v>
      </c>
      <c r="O29">
        <v>2893</v>
      </c>
      <c r="P29">
        <v>3441</v>
      </c>
      <c r="Q29" s="4">
        <v>6264</v>
      </c>
      <c r="R29">
        <v>971</v>
      </c>
      <c r="S29">
        <v>775</v>
      </c>
      <c r="T29">
        <v>56</v>
      </c>
      <c r="U29">
        <v>246</v>
      </c>
      <c r="V29">
        <v>1228</v>
      </c>
      <c r="W29">
        <v>255</v>
      </c>
      <c r="X29">
        <v>308</v>
      </c>
      <c r="Y29">
        <v>2181</v>
      </c>
      <c r="Z29" s="4">
        <v>2935</v>
      </c>
      <c r="AA29">
        <v>1285</v>
      </c>
      <c r="AB29">
        <v>1497</v>
      </c>
      <c r="AC29">
        <v>153</v>
      </c>
    </row>
    <row r="30" spans="1:29" x14ac:dyDescent="0.25">
      <c r="A30" s="1">
        <v>28126</v>
      </c>
      <c r="B30" s="5">
        <f t="shared" si="0"/>
        <v>-1.6336633663366351E-2</v>
      </c>
      <c r="C30" s="5">
        <f t="shared" si="1"/>
        <v>0.14942528735632177</v>
      </c>
      <c r="D30" s="5">
        <f t="shared" si="2"/>
        <v>-1.4490128599891072E-3</v>
      </c>
      <c r="E30" s="5">
        <f t="shared" si="3"/>
        <v>0</v>
      </c>
      <c r="F30" s="4">
        <v>1987</v>
      </c>
      <c r="G30">
        <v>1938</v>
      </c>
      <c r="H30">
        <v>1279</v>
      </c>
      <c r="I30">
        <v>611</v>
      </c>
      <c r="J30">
        <v>2</v>
      </c>
      <c r="K30">
        <v>46</v>
      </c>
      <c r="L30">
        <v>27</v>
      </c>
      <c r="M30">
        <v>23</v>
      </c>
      <c r="N30" s="4">
        <v>6100</v>
      </c>
      <c r="O30">
        <v>2877</v>
      </c>
      <c r="P30">
        <v>3223</v>
      </c>
      <c r="Q30" s="4">
        <v>5513</v>
      </c>
      <c r="R30">
        <v>955</v>
      </c>
      <c r="S30">
        <v>646</v>
      </c>
      <c r="T30">
        <v>49</v>
      </c>
      <c r="U30">
        <v>235</v>
      </c>
      <c r="V30">
        <v>1151</v>
      </c>
      <c r="W30">
        <v>219</v>
      </c>
      <c r="X30">
        <v>297</v>
      </c>
      <c r="Y30">
        <v>1753</v>
      </c>
      <c r="Z30" s="4">
        <v>2801</v>
      </c>
      <c r="AA30">
        <v>1105</v>
      </c>
      <c r="AB30">
        <v>1346</v>
      </c>
      <c r="AC30">
        <v>349</v>
      </c>
    </row>
    <row r="31" spans="1:29" x14ac:dyDescent="0.25">
      <c r="A31" s="1">
        <v>28216</v>
      </c>
      <c r="B31" s="5">
        <f t="shared" si="0"/>
        <v>9.078014184397154E-2</v>
      </c>
      <c r="C31" s="5">
        <f t="shared" si="1"/>
        <v>0.17840144428032167</v>
      </c>
      <c r="D31" s="5">
        <f t="shared" si="2"/>
        <v>2.3449795404469675E-2</v>
      </c>
      <c r="E31" s="5">
        <f t="shared" si="3"/>
        <v>0</v>
      </c>
      <c r="F31" s="4">
        <v>2307</v>
      </c>
      <c r="G31">
        <v>2257</v>
      </c>
      <c r="H31">
        <v>1673</v>
      </c>
      <c r="I31">
        <v>524</v>
      </c>
      <c r="J31">
        <v>2</v>
      </c>
      <c r="K31">
        <v>59</v>
      </c>
      <c r="L31">
        <v>27</v>
      </c>
      <c r="M31">
        <v>23</v>
      </c>
      <c r="N31" s="4">
        <v>7180</v>
      </c>
      <c r="O31">
        <v>2767</v>
      </c>
      <c r="P31">
        <v>4413</v>
      </c>
      <c r="Q31" s="4">
        <v>6503</v>
      </c>
      <c r="R31">
        <v>979</v>
      </c>
      <c r="S31">
        <v>746</v>
      </c>
      <c r="T31">
        <v>52</v>
      </c>
      <c r="U31">
        <v>260</v>
      </c>
      <c r="V31">
        <v>1275</v>
      </c>
      <c r="W31">
        <v>240</v>
      </c>
      <c r="X31">
        <v>384</v>
      </c>
      <c r="Y31">
        <v>2323</v>
      </c>
      <c r="Z31" s="4">
        <v>2886</v>
      </c>
      <c r="AA31">
        <v>1245</v>
      </c>
      <c r="AB31">
        <v>1525</v>
      </c>
      <c r="AC31">
        <v>116</v>
      </c>
    </row>
    <row r="32" spans="1:29" x14ac:dyDescent="0.25">
      <c r="A32" s="1">
        <v>28307</v>
      </c>
      <c r="B32" s="5">
        <f t="shared" si="0"/>
        <v>1.8700327255727345E-3</v>
      </c>
      <c r="C32" s="5">
        <f t="shared" si="1"/>
        <v>0.12850000000000006</v>
      </c>
      <c r="D32" s="5">
        <f t="shared" si="2"/>
        <v>0.10365753649335741</v>
      </c>
      <c r="E32" s="5">
        <f t="shared" si="3"/>
        <v>0</v>
      </c>
      <c r="F32" s="4">
        <v>2143</v>
      </c>
      <c r="G32">
        <v>2093</v>
      </c>
      <c r="H32">
        <v>835</v>
      </c>
      <c r="I32">
        <v>1200</v>
      </c>
      <c r="J32">
        <v>2</v>
      </c>
      <c r="K32">
        <v>56</v>
      </c>
      <c r="L32">
        <v>27</v>
      </c>
      <c r="M32">
        <v>23</v>
      </c>
      <c r="N32" s="4">
        <v>6771</v>
      </c>
      <c r="O32">
        <v>2723</v>
      </c>
      <c r="P32">
        <v>4048</v>
      </c>
      <c r="Q32" s="4">
        <v>6729</v>
      </c>
      <c r="R32">
        <v>955</v>
      </c>
      <c r="S32">
        <v>764</v>
      </c>
      <c r="T32">
        <v>55</v>
      </c>
      <c r="U32">
        <v>271</v>
      </c>
      <c r="V32">
        <v>1315</v>
      </c>
      <c r="W32">
        <v>253</v>
      </c>
      <c r="X32">
        <v>389</v>
      </c>
      <c r="Y32">
        <v>2490</v>
      </c>
      <c r="Z32" s="4">
        <v>2862</v>
      </c>
      <c r="AA32">
        <v>1267</v>
      </c>
      <c r="AB32">
        <v>1470</v>
      </c>
      <c r="AC32">
        <v>126</v>
      </c>
    </row>
    <row r="33" spans="1:29" x14ac:dyDescent="0.25">
      <c r="A33" s="1">
        <v>28399</v>
      </c>
      <c r="B33" s="5">
        <f t="shared" si="0"/>
        <v>-3.1039834454216209E-2</v>
      </c>
      <c r="C33" s="5">
        <f t="shared" si="1"/>
        <v>8.7622355541521868E-2</v>
      </c>
      <c r="D33" s="5">
        <f t="shared" si="2"/>
        <v>3.9272030651340994E-2</v>
      </c>
      <c r="E33" s="5">
        <f t="shared" si="3"/>
        <v>0</v>
      </c>
      <c r="F33" s="4">
        <v>1873</v>
      </c>
      <c r="G33">
        <v>1824</v>
      </c>
      <c r="H33">
        <v>995</v>
      </c>
      <c r="I33">
        <v>783</v>
      </c>
      <c r="J33">
        <v>2</v>
      </c>
      <c r="K33">
        <v>43</v>
      </c>
      <c r="L33">
        <v>27</v>
      </c>
      <c r="M33">
        <v>23</v>
      </c>
      <c r="N33" s="4">
        <v>6889</v>
      </c>
      <c r="O33">
        <v>2697</v>
      </c>
      <c r="P33">
        <v>4191</v>
      </c>
      <c r="Q33" s="4">
        <v>6510</v>
      </c>
      <c r="R33">
        <v>961</v>
      </c>
      <c r="S33">
        <v>731</v>
      </c>
      <c r="T33">
        <v>55</v>
      </c>
      <c r="U33">
        <v>267</v>
      </c>
      <c r="V33">
        <v>1318</v>
      </c>
      <c r="W33">
        <v>253</v>
      </c>
      <c r="X33">
        <v>389</v>
      </c>
      <c r="Y33">
        <v>2296</v>
      </c>
      <c r="Z33" s="4">
        <v>2935</v>
      </c>
      <c r="AA33">
        <v>1285</v>
      </c>
      <c r="AB33">
        <v>1497</v>
      </c>
      <c r="AC33">
        <v>153</v>
      </c>
    </row>
    <row r="34" spans="1:29" x14ac:dyDescent="0.25">
      <c r="A34" s="1">
        <v>28491</v>
      </c>
      <c r="B34" s="5">
        <f t="shared" si="0"/>
        <v>3.824861600402607E-2</v>
      </c>
      <c r="C34" s="5">
        <f t="shared" si="1"/>
        <v>6.6393442622950882E-2</v>
      </c>
      <c r="D34" s="5">
        <f t="shared" si="2"/>
        <v>-0.11518229639035005</v>
      </c>
      <c r="E34" s="5">
        <f t="shared" si="3"/>
        <v>0</v>
      </c>
      <c r="F34" s="4">
        <v>2063</v>
      </c>
      <c r="G34">
        <v>2011</v>
      </c>
      <c r="H34">
        <v>1359</v>
      </c>
      <c r="I34">
        <v>604</v>
      </c>
      <c r="J34">
        <v>2</v>
      </c>
      <c r="K34">
        <v>46</v>
      </c>
      <c r="L34">
        <v>28</v>
      </c>
      <c r="M34">
        <v>24</v>
      </c>
      <c r="N34" s="4">
        <v>6505</v>
      </c>
      <c r="O34">
        <v>2799</v>
      </c>
      <c r="P34">
        <v>3706</v>
      </c>
      <c r="Q34" s="4">
        <v>4878</v>
      </c>
      <c r="R34">
        <v>877</v>
      </c>
      <c r="S34">
        <v>504</v>
      </c>
      <c r="T34">
        <v>38</v>
      </c>
      <c r="U34">
        <v>228</v>
      </c>
      <c r="V34">
        <v>1099</v>
      </c>
      <c r="W34">
        <v>216</v>
      </c>
      <c r="X34">
        <v>281</v>
      </c>
      <c r="Y34">
        <v>1442</v>
      </c>
      <c r="Z34" s="4">
        <v>2801</v>
      </c>
      <c r="AA34">
        <v>1105</v>
      </c>
      <c r="AB34">
        <v>1346</v>
      </c>
      <c r="AC34">
        <v>349</v>
      </c>
    </row>
    <row r="35" spans="1:29" x14ac:dyDescent="0.25">
      <c r="A35" s="1">
        <v>28581</v>
      </c>
      <c r="B35" s="5">
        <f t="shared" si="0"/>
        <v>7.3688773298656862E-3</v>
      </c>
      <c r="C35" s="5">
        <f t="shared" si="1"/>
        <v>-8.5515320334261791E-2</v>
      </c>
      <c r="D35" s="5">
        <f t="shared" si="2"/>
        <v>-8.7190527448869792E-2</v>
      </c>
      <c r="E35" s="5">
        <f t="shared" si="3"/>
        <v>0</v>
      </c>
      <c r="F35" s="4">
        <v>2324</v>
      </c>
      <c r="G35">
        <v>2276</v>
      </c>
      <c r="H35">
        <v>1670</v>
      </c>
      <c r="I35">
        <v>537</v>
      </c>
      <c r="J35">
        <v>2</v>
      </c>
      <c r="K35">
        <v>67</v>
      </c>
      <c r="L35">
        <v>28</v>
      </c>
      <c r="M35">
        <v>21</v>
      </c>
      <c r="N35" s="4">
        <v>6566</v>
      </c>
      <c r="O35">
        <v>2860</v>
      </c>
      <c r="P35">
        <v>3706</v>
      </c>
      <c r="Q35" s="4">
        <v>5936</v>
      </c>
      <c r="R35">
        <v>882</v>
      </c>
      <c r="S35">
        <v>662</v>
      </c>
      <c r="T35">
        <v>46</v>
      </c>
      <c r="U35">
        <v>273</v>
      </c>
      <c r="V35">
        <v>1215</v>
      </c>
      <c r="W35">
        <v>246</v>
      </c>
      <c r="X35">
        <v>360</v>
      </c>
      <c r="Y35">
        <v>2030</v>
      </c>
      <c r="Z35" s="4">
        <v>2886</v>
      </c>
      <c r="AA35">
        <v>1245</v>
      </c>
      <c r="AB35">
        <v>1525</v>
      </c>
      <c r="AC35">
        <v>116</v>
      </c>
    </row>
    <row r="36" spans="1:29" x14ac:dyDescent="0.25">
      <c r="A36" s="1">
        <v>28672</v>
      </c>
      <c r="B36" s="5">
        <f t="shared" si="0"/>
        <v>4.6663555762949116E-3</v>
      </c>
      <c r="C36" s="5">
        <f t="shared" si="1"/>
        <v>-7.4730468173091147E-2</v>
      </c>
      <c r="D36" s="5">
        <f t="shared" si="2"/>
        <v>-9.1692673502749344E-2</v>
      </c>
      <c r="E36" s="5">
        <f t="shared" si="3"/>
        <v>0</v>
      </c>
      <c r="F36" s="4">
        <v>2153</v>
      </c>
      <c r="G36">
        <v>2099</v>
      </c>
      <c r="H36">
        <v>816</v>
      </c>
      <c r="I36">
        <v>1210</v>
      </c>
      <c r="J36">
        <v>2</v>
      </c>
      <c r="K36">
        <v>72</v>
      </c>
      <c r="L36">
        <v>28</v>
      </c>
      <c r="M36">
        <v>26</v>
      </c>
      <c r="N36" s="4">
        <v>6265</v>
      </c>
      <c r="O36">
        <v>2984</v>
      </c>
      <c r="P36">
        <v>3281</v>
      </c>
      <c r="Q36" s="4">
        <v>6112</v>
      </c>
      <c r="R36">
        <v>917</v>
      </c>
      <c r="S36">
        <v>709</v>
      </c>
      <c r="T36">
        <v>49</v>
      </c>
      <c r="U36">
        <v>282</v>
      </c>
      <c r="V36">
        <v>1251</v>
      </c>
      <c r="W36">
        <v>255</v>
      </c>
      <c r="X36">
        <v>359</v>
      </c>
      <c r="Y36">
        <v>2061</v>
      </c>
      <c r="Z36" s="4">
        <v>2862</v>
      </c>
      <c r="AA36">
        <v>1267</v>
      </c>
      <c r="AB36">
        <v>1470</v>
      </c>
      <c r="AC36">
        <v>126</v>
      </c>
    </row>
    <row r="37" spans="1:29" x14ac:dyDescent="0.25">
      <c r="A37" s="1">
        <v>28764</v>
      </c>
      <c r="B37" s="5">
        <f t="shared" si="0"/>
        <v>2.1890016017084957E-2</v>
      </c>
      <c r="C37" s="5">
        <f t="shared" si="1"/>
        <v>2.1338365510233714E-2</v>
      </c>
      <c r="D37" s="5">
        <f t="shared" si="2"/>
        <v>-2.8878648233486959E-2</v>
      </c>
      <c r="E37" s="5">
        <f t="shared" si="3"/>
        <v>0</v>
      </c>
      <c r="F37" s="4">
        <v>1914</v>
      </c>
      <c r="G37">
        <v>1847</v>
      </c>
      <c r="H37">
        <v>979</v>
      </c>
      <c r="I37">
        <v>796</v>
      </c>
      <c r="J37">
        <v>2</v>
      </c>
      <c r="K37">
        <v>70</v>
      </c>
      <c r="L37">
        <v>28</v>
      </c>
      <c r="M37">
        <v>38</v>
      </c>
      <c r="N37" s="4">
        <v>7036</v>
      </c>
      <c r="O37">
        <v>3082</v>
      </c>
      <c r="P37">
        <v>3955</v>
      </c>
      <c r="Q37" s="4">
        <v>6322</v>
      </c>
      <c r="R37">
        <v>930</v>
      </c>
      <c r="S37">
        <v>748</v>
      </c>
      <c r="T37">
        <v>53</v>
      </c>
      <c r="U37">
        <v>293</v>
      </c>
      <c r="V37">
        <v>1312</v>
      </c>
      <c r="W37">
        <v>262</v>
      </c>
      <c r="X37">
        <v>412</v>
      </c>
      <c r="Y37">
        <v>2075</v>
      </c>
      <c r="Z37" s="4">
        <v>2935</v>
      </c>
      <c r="AA37">
        <v>1285</v>
      </c>
      <c r="AB37">
        <v>1497</v>
      </c>
      <c r="AC37">
        <v>153</v>
      </c>
    </row>
    <row r="38" spans="1:29" x14ac:dyDescent="0.25">
      <c r="A38" s="1">
        <v>28856</v>
      </c>
      <c r="B38" s="5">
        <f t="shared" si="0"/>
        <v>0.12021328162869604</v>
      </c>
      <c r="C38" s="5">
        <f t="shared" si="1"/>
        <v>0.10484242890084561</v>
      </c>
      <c r="D38" s="5">
        <f t="shared" si="2"/>
        <v>0.16584665846658475</v>
      </c>
      <c r="E38" s="5">
        <f t="shared" si="3"/>
        <v>5.8550517672259828E-2</v>
      </c>
      <c r="F38" s="4">
        <v>2311</v>
      </c>
      <c r="G38">
        <v>2256</v>
      </c>
      <c r="H38">
        <v>1554</v>
      </c>
      <c r="I38">
        <v>635</v>
      </c>
      <c r="J38">
        <v>2</v>
      </c>
      <c r="K38">
        <v>65</v>
      </c>
      <c r="L38">
        <v>28</v>
      </c>
      <c r="M38">
        <v>26</v>
      </c>
      <c r="N38" s="4">
        <v>7187</v>
      </c>
      <c r="O38">
        <v>3370</v>
      </c>
      <c r="P38">
        <v>3817</v>
      </c>
      <c r="Q38" s="4">
        <v>5687</v>
      </c>
      <c r="R38">
        <v>887</v>
      </c>
      <c r="S38">
        <v>593</v>
      </c>
      <c r="T38">
        <v>40</v>
      </c>
      <c r="U38">
        <v>269</v>
      </c>
      <c r="V38">
        <v>1263</v>
      </c>
      <c r="W38">
        <v>232</v>
      </c>
      <c r="X38">
        <v>363</v>
      </c>
      <c r="Y38">
        <v>1816</v>
      </c>
      <c r="Z38" s="4">
        <v>2965</v>
      </c>
      <c r="AA38">
        <v>1221</v>
      </c>
      <c r="AB38">
        <v>1418</v>
      </c>
      <c r="AC38">
        <v>326</v>
      </c>
    </row>
    <row r="39" spans="1:29" x14ac:dyDescent="0.25">
      <c r="A39" s="1">
        <v>28946</v>
      </c>
      <c r="B39" s="5">
        <f t="shared" si="0"/>
        <v>1.1617900172117057E-2</v>
      </c>
      <c r="C39" s="5">
        <f t="shared" si="1"/>
        <v>9.2445933597319563E-2</v>
      </c>
      <c r="D39" s="5">
        <f t="shared" si="2"/>
        <v>0.12938005390835583</v>
      </c>
      <c r="E39" s="5">
        <f t="shared" si="3"/>
        <v>0.10533610533610527</v>
      </c>
      <c r="F39" s="4">
        <v>2351</v>
      </c>
      <c r="G39">
        <v>2300</v>
      </c>
      <c r="H39">
        <v>1681</v>
      </c>
      <c r="I39">
        <v>554</v>
      </c>
      <c r="J39">
        <v>2</v>
      </c>
      <c r="K39">
        <v>64</v>
      </c>
      <c r="L39">
        <v>28</v>
      </c>
      <c r="M39">
        <v>23</v>
      </c>
      <c r="N39" s="4">
        <v>7173</v>
      </c>
      <c r="O39">
        <v>3374</v>
      </c>
      <c r="P39">
        <v>3799</v>
      </c>
      <c r="Q39" s="4">
        <v>6704</v>
      </c>
      <c r="R39">
        <v>894</v>
      </c>
      <c r="S39">
        <v>709</v>
      </c>
      <c r="T39">
        <v>53</v>
      </c>
      <c r="U39">
        <v>307</v>
      </c>
      <c r="V39">
        <v>1417</v>
      </c>
      <c r="W39">
        <v>254</v>
      </c>
      <c r="X39">
        <v>435</v>
      </c>
      <c r="Y39">
        <v>2384</v>
      </c>
      <c r="Z39" s="4">
        <v>3190</v>
      </c>
      <c r="AA39">
        <v>1424</v>
      </c>
      <c r="AB39">
        <v>1644</v>
      </c>
      <c r="AC39">
        <v>123</v>
      </c>
    </row>
    <row r="40" spans="1:29" x14ac:dyDescent="0.25">
      <c r="A40" s="1">
        <v>29037</v>
      </c>
      <c r="B40" s="5">
        <f t="shared" si="0"/>
        <v>-1.3934045517881577E-3</v>
      </c>
      <c r="C40" s="5">
        <f t="shared" si="1"/>
        <v>4.7885075818036693E-2</v>
      </c>
      <c r="D40" s="5">
        <f t="shared" si="2"/>
        <v>0.10454842931937169</v>
      </c>
      <c r="E40" s="5">
        <f t="shared" si="3"/>
        <v>0.14500349406009794</v>
      </c>
      <c r="F40" s="4">
        <v>2150</v>
      </c>
      <c r="G40">
        <v>2093</v>
      </c>
      <c r="H40">
        <v>859</v>
      </c>
      <c r="I40">
        <v>1174</v>
      </c>
      <c r="J40">
        <v>2</v>
      </c>
      <c r="K40">
        <v>58</v>
      </c>
      <c r="L40">
        <v>28</v>
      </c>
      <c r="M40">
        <v>29</v>
      </c>
      <c r="N40" s="4">
        <v>6565</v>
      </c>
      <c r="O40">
        <v>3241</v>
      </c>
      <c r="P40">
        <v>3324</v>
      </c>
      <c r="Q40" s="4">
        <v>6751</v>
      </c>
      <c r="R40">
        <v>922</v>
      </c>
      <c r="S40">
        <v>717</v>
      </c>
      <c r="T40">
        <v>52</v>
      </c>
      <c r="U40">
        <v>313</v>
      </c>
      <c r="V40">
        <v>1370</v>
      </c>
      <c r="W40">
        <v>272</v>
      </c>
      <c r="X40">
        <v>428</v>
      </c>
      <c r="Y40">
        <v>2425</v>
      </c>
      <c r="Z40" s="4">
        <v>3277</v>
      </c>
      <c r="AA40">
        <v>1501</v>
      </c>
      <c r="AB40">
        <v>1637</v>
      </c>
      <c r="AC40">
        <v>140</v>
      </c>
    </row>
    <row r="41" spans="1:29" x14ac:dyDescent="0.25">
      <c r="A41" s="1">
        <v>29129</v>
      </c>
      <c r="B41" s="5">
        <f t="shared" si="0"/>
        <v>4.1274817136886188E-2</v>
      </c>
      <c r="C41" s="5">
        <f t="shared" si="1"/>
        <v>2.1603183627060929E-2</v>
      </c>
      <c r="D41" s="5">
        <f t="shared" si="2"/>
        <v>5.3938627016766771E-2</v>
      </c>
      <c r="E41" s="5">
        <f t="shared" si="3"/>
        <v>0.10391822827938668</v>
      </c>
      <c r="F41" s="4">
        <v>1993</v>
      </c>
      <c r="G41">
        <v>1923</v>
      </c>
      <c r="H41">
        <v>1045</v>
      </c>
      <c r="I41">
        <v>818</v>
      </c>
      <c r="J41">
        <v>2</v>
      </c>
      <c r="K41">
        <v>58</v>
      </c>
      <c r="L41">
        <v>28</v>
      </c>
      <c r="M41">
        <v>42</v>
      </c>
      <c r="N41" s="4">
        <v>7188</v>
      </c>
      <c r="O41">
        <v>3233</v>
      </c>
      <c r="P41">
        <v>3955</v>
      </c>
      <c r="Q41" s="4">
        <v>6663</v>
      </c>
      <c r="R41">
        <v>974</v>
      </c>
      <c r="S41">
        <v>698</v>
      </c>
      <c r="T41">
        <v>51</v>
      </c>
      <c r="U41">
        <v>311</v>
      </c>
      <c r="V41">
        <v>1362</v>
      </c>
      <c r="W41">
        <v>274</v>
      </c>
      <c r="X41">
        <v>421</v>
      </c>
      <c r="Y41">
        <v>2320</v>
      </c>
      <c r="Z41" s="4">
        <v>3240</v>
      </c>
      <c r="AA41">
        <v>1456</v>
      </c>
      <c r="AB41">
        <v>1606</v>
      </c>
      <c r="AC41">
        <v>178</v>
      </c>
    </row>
    <row r="42" spans="1:29" x14ac:dyDescent="0.25">
      <c r="A42" s="1">
        <v>29221</v>
      </c>
      <c r="B42" s="5"/>
      <c r="C42" s="5">
        <f t="shared" si="1"/>
        <v>2.9775984416307244E-2</v>
      </c>
      <c r="D42" s="5">
        <f t="shared" si="2"/>
        <v>3.1123615262880211E-2</v>
      </c>
      <c r="E42" s="5">
        <f t="shared" si="3"/>
        <v>4.0134907251264673E-2</v>
      </c>
      <c r="N42" s="4">
        <v>7401</v>
      </c>
      <c r="O42">
        <v>3283</v>
      </c>
      <c r="P42">
        <v>4119</v>
      </c>
      <c r="Q42" s="4">
        <v>5864</v>
      </c>
      <c r="R42">
        <v>897</v>
      </c>
      <c r="S42">
        <v>551</v>
      </c>
      <c r="T42">
        <v>39</v>
      </c>
      <c r="U42">
        <v>268</v>
      </c>
      <c r="V42">
        <v>1280</v>
      </c>
      <c r="W42">
        <v>236</v>
      </c>
      <c r="X42">
        <v>355</v>
      </c>
      <c r="Y42">
        <v>2007</v>
      </c>
      <c r="Z42" s="4">
        <v>3084</v>
      </c>
      <c r="AA42">
        <v>1281</v>
      </c>
      <c r="AB42">
        <v>1452</v>
      </c>
      <c r="AC42">
        <v>352</v>
      </c>
    </row>
    <row r="43" spans="1:29" x14ac:dyDescent="0.25">
      <c r="A43" s="1">
        <v>29312</v>
      </c>
      <c r="B43" s="5"/>
      <c r="C43" s="5">
        <f t="shared" si="1"/>
        <v>7.8628189042241781E-2</v>
      </c>
      <c r="D43" s="5">
        <f t="shared" si="2"/>
        <v>-6.8764916467780379E-2</v>
      </c>
      <c r="E43" s="5">
        <f t="shared" si="3"/>
        <v>-4.5768025078369856E-2</v>
      </c>
      <c r="N43" s="4">
        <v>7737</v>
      </c>
      <c r="O43">
        <v>3638</v>
      </c>
      <c r="P43">
        <v>4099</v>
      </c>
      <c r="Q43" s="4">
        <v>6243</v>
      </c>
      <c r="R43">
        <v>871</v>
      </c>
      <c r="S43">
        <v>569</v>
      </c>
      <c r="T43">
        <v>53</v>
      </c>
      <c r="U43">
        <v>289</v>
      </c>
      <c r="V43">
        <v>1324</v>
      </c>
      <c r="W43">
        <v>268</v>
      </c>
      <c r="X43">
        <v>375</v>
      </c>
      <c r="Y43">
        <v>2260</v>
      </c>
      <c r="Z43" s="4">
        <v>3044</v>
      </c>
      <c r="AA43">
        <v>1378</v>
      </c>
      <c r="AB43">
        <v>1538</v>
      </c>
      <c r="AC43">
        <v>128</v>
      </c>
    </row>
    <row r="44" spans="1:29" x14ac:dyDescent="0.25">
      <c r="A44" s="1">
        <v>29403</v>
      </c>
      <c r="B44" s="5"/>
      <c r="C44" s="5">
        <f t="shared" si="1"/>
        <v>0.11896420411271902</v>
      </c>
      <c r="D44" s="5">
        <f t="shared" si="2"/>
        <v>-5.4066064286772297E-2</v>
      </c>
      <c r="E44" s="5">
        <f t="shared" si="3"/>
        <v>-1.0375343301800455E-2</v>
      </c>
      <c r="N44" s="4">
        <v>7346</v>
      </c>
      <c r="O44">
        <v>3759</v>
      </c>
      <c r="P44">
        <v>3586</v>
      </c>
      <c r="Q44" s="4">
        <v>6386</v>
      </c>
      <c r="R44">
        <v>988</v>
      </c>
      <c r="S44">
        <v>633</v>
      </c>
      <c r="T44">
        <v>50</v>
      </c>
      <c r="U44">
        <v>264</v>
      </c>
      <c r="V44">
        <v>1345</v>
      </c>
      <c r="W44">
        <v>258</v>
      </c>
      <c r="X44">
        <v>394</v>
      </c>
      <c r="Y44">
        <v>2216</v>
      </c>
      <c r="Z44" s="4">
        <v>3243</v>
      </c>
      <c r="AA44">
        <v>1514</v>
      </c>
      <c r="AB44">
        <v>1578</v>
      </c>
      <c r="AC44">
        <v>151</v>
      </c>
    </row>
    <row r="45" spans="1:29" x14ac:dyDescent="0.25">
      <c r="A45" s="1">
        <v>29495</v>
      </c>
      <c r="B45" s="5"/>
      <c r="C45" s="5">
        <f t="shared" si="1"/>
        <v>9.2376182526432871E-2</v>
      </c>
      <c r="D45" s="5">
        <f t="shared" si="2"/>
        <v>-4.9076992345790216E-2</v>
      </c>
      <c r="E45" s="5">
        <f t="shared" si="3"/>
        <v>-3.0864197530866555E-4</v>
      </c>
      <c r="N45" s="4">
        <v>7852</v>
      </c>
      <c r="O45">
        <v>3584</v>
      </c>
      <c r="P45">
        <v>4267</v>
      </c>
      <c r="Q45" s="4">
        <v>6336</v>
      </c>
      <c r="R45">
        <v>1057</v>
      </c>
      <c r="S45">
        <v>655</v>
      </c>
      <c r="T45">
        <v>57</v>
      </c>
      <c r="U45">
        <v>267</v>
      </c>
      <c r="V45">
        <v>1339</v>
      </c>
      <c r="W45">
        <v>280</v>
      </c>
      <c r="X45">
        <v>344</v>
      </c>
      <c r="Y45">
        <v>2100</v>
      </c>
      <c r="Z45" s="4">
        <v>3239</v>
      </c>
      <c r="AA45">
        <v>1491</v>
      </c>
      <c r="AB45">
        <v>1560</v>
      </c>
      <c r="AC45">
        <v>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5"/>
  <sheetViews>
    <sheetView tabSelected="1" topLeftCell="E247" workbookViewId="0">
      <selection activeCell="J261" sqref="J261"/>
    </sheetView>
  </sheetViews>
  <sheetFormatPr baseColWidth="10" defaultRowHeight="15" x14ac:dyDescent="0.25"/>
  <cols>
    <col min="5" max="5" width="16.140625" customWidth="1"/>
    <col min="6" max="6" width="12" bestFit="1" customWidth="1"/>
    <col min="7" max="7" width="14.28515625" bestFit="1" customWidth="1"/>
    <col min="8" max="9" width="21.5703125" style="21" bestFit="1" customWidth="1"/>
  </cols>
  <sheetData>
    <row r="3" spans="2:9" x14ac:dyDescent="0.25">
      <c r="C3" t="s">
        <v>29</v>
      </c>
      <c r="D3" t="s">
        <v>30</v>
      </c>
      <c r="G3" t="s">
        <v>31</v>
      </c>
    </row>
    <row r="4" spans="2:9" x14ac:dyDescent="0.25">
      <c r="B4" s="7">
        <v>25569</v>
      </c>
      <c r="C4" s="6">
        <v>5115</v>
      </c>
      <c r="D4" s="6">
        <v>1693</v>
      </c>
      <c r="E4" s="8">
        <f t="shared" ref="E4:F67" si="0">+C4</f>
        <v>5115</v>
      </c>
      <c r="F4" s="8">
        <f t="shared" si="0"/>
        <v>1693</v>
      </c>
      <c r="G4" s="9">
        <v>4.3919999999999999E-10</v>
      </c>
      <c r="H4" s="21">
        <f>+E4/G4</f>
        <v>11646174863387.979</v>
      </c>
      <c r="I4" s="21">
        <f>+F4/G4</f>
        <v>3854735883424.4082</v>
      </c>
    </row>
    <row r="5" spans="2:9" x14ac:dyDescent="0.25">
      <c r="B5" s="7">
        <v>25600</v>
      </c>
      <c r="C5" s="6">
        <v>5087</v>
      </c>
      <c r="D5" s="6">
        <v>1715</v>
      </c>
      <c r="E5" s="8">
        <f t="shared" si="0"/>
        <v>5087</v>
      </c>
      <c r="F5" s="8">
        <f t="shared" ref="F5" si="1">+D5</f>
        <v>1715</v>
      </c>
      <c r="G5" s="9">
        <v>4.4515000000000001E-10</v>
      </c>
      <c r="H5" s="21">
        <f t="shared" ref="H5:H68" si="2">+E5/G5</f>
        <v>11427608671234.416</v>
      </c>
      <c r="I5" s="21">
        <f t="shared" ref="I5:I68" si="3">+F5/G5</f>
        <v>3852633943614.5117</v>
      </c>
    </row>
    <row r="6" spans="2:9" x14ac:dyDescent="0.25">
      <c r="B6" s="7">
        <v>25628</v>
      </c>
      <c r="C6" s="6">
        <v>5126</v>
      </c>
      <c r="D6" s="6">
        <v>1757</v>
      </c>
      <c r="E6" s="8">
        <f t="shared" si="0"/>
        <v>5126</v>
      </c>
      <c r="F6" s="8">
        <f t="shared" ref="F6" si="4">+D6</f>
        <v>1757</v>
      </c>
      <c r="G6" s="9">
        <v>4.5090000000000001E-10</v>
      </c>
      <c r="H6" s="21">
        <f t="shared" si="2"/>
        <v>11368374362386.338</v>
      </c>
      <c r="I6" s="21">
        <f t="shared" si="3"/>
        <v>3896651142160.124</v>
      </c>
    </row>
    <row r="7" spans="2:9" x14ac:dyDescent="0.25">
      <c r="B7" s="7">
        <v>25659</v>
      </c>
      <c r="C7" s="6">
        <v>4990</v>
      </c>
      <c r="D7" s="6">
        <v>1776</v>
      </c>
      <c r="E7" s="8">
        <f t="shared" si="0"/>
        <v>4990</v>
      </c>
      <c r="F7" s="8">
        <f t="shared" ref="F7" si="5">+D7</f>
        <v>1776</v>
      </c>
      <c r="G7" s="9">
        <v>4.5436000000000002E-10</v>
      </c>
      <c r="H7" s="21">
        <f t="shared" si="2"/>
        <v>10982480852187.691</v>
      </c>
      <c r="I7" s="21">
        <f t="shared" si="3"/>
        <v>3908794788273.6152</v>
      </c>
    </row>
    <row r="8" spans="2:9" x14ac:dyDescent="0.25">
      <c r="B8" s="7">
        <v>25689</v>
      </c>
      <c r="C8" s="6">
        <v>5099</v>
      </c>
      <c r="D8" s="6">
        <v>1792</v>
      </c>
      <c r="E8" s="8">
        <f t="shared" si="0"/>
        <v>5099</v>
      </c>
      <c r="F8" s="8">
        <f t="shared" ref="F8" si="6">+D8</f>
        <v>1792</v>
      </c>
      <c r="G8" s="9">
        <v>4.5772E-10</v>
      </c>
      <c r="H8" s="21">
        <f t="shared" si="2"/>
        <v>11139998252206.59</v>
      </c>
      <c r="I8" s="21">
        <f t="shared" si="3"/>
        <v>3915057240234.2041</v>
      </c>
    </row>
    <row r="9" spans="2:9" x14ac:dyDescent="0.25">
      <c r="B9" s="7">
        <v>25720</v>
      </c>
      <c r="C9" s="6">
        <v>5137</v>
      </c>
      <c r="D9" s="6">
        <v>1849</v>
      </c>
      <c r="E9" s="8">
        <f t="shared" si="0"/>
        <v>5137</v>
      </c>
      <c r="F9" s="8">
        <f t="shared" ref="F9" si="7">+D9</f>
        <v>1849</v>
      </c>
      <c r="G9" s="9">
        <v>4.6106999999999999E-10</v>
      </c>
      <c r="H9" s="21">
        <f t="shared" si="2"/>
        <v>11141475264059.688</v>
      </c>
      <c r="I9" s="21">
        <f t="shared" si="3"/>
        <v>4010237057279.8057</v>
      </c>
    </row>
    <row r="10" spans="2:9" x14ac:dyDescent="0.25">
      <c r="B10" s="7">
        <v>25750</v>
      </c>
      <c r="C10" s="6">
        <v>5196</v>
      </c>
      <c r="D10" s="6">
        <v>1873</v>
      </c>
      <c r="E10" s="8">
        <f t="shared" si="0"/>
        <v>5196</v>
      </c>
      <c r="F10" s="8">
        <f t="shared" ref="F10" si="8">+D10</f>
        <v>1873</v>
      </c>
      <c r="G10" s="9">
        <v>4.6673999999999998E-10</v>
      </c>
      <c r="H10" s="21">
        <f t="shared" si="2"/>
        <v>11132536315721.816</v>
      </c>
      <c r="I10" s="21">
        <f t="shared" si="3"/>
        <v>4012940823584.8652</v>
      </c>
    </row>
    <row r="11" spans="2:9" x14ac:dyDescent="0.25">
      <c r="B11" s="7">
        <v>25781</v>
      </c>
      <c r="C11" s="6">
        <v>5330</v>
      </c>
      <c r="D11" s="6">
        <v>1742</v>
      </c>
      <c r="E11" s="8">
        <f t="shared" si="0"/>
        <v>5330</v>
      </c>
      <c r="F11" s="8">
        <f t="shared" ref="F11" si="9">+D11</f>
        <v>1742</v>
      </c>
      <c r="G11" s="9">
        <v>4.7201000000000001E-10</v>
      </c>
      <c r="H11" s="21">
        <f t="shared" si="2"/>
        <v>11292133641236.414</v>
      </c>
      <c r="I11" s="21">
        <f t="shared" si="3"/>
        <v>3690599775428.4868</v>
      </c>
    </row>
    <row r="12" spans="2:9" x14ac:dyDescent="0.25">
      <c r="B12" s="7">
        <v>25812</v>
      </c>
      <c r="C12" s="6">
        <v>5278</v>
      </c>
      <c r="D12" s="6">
        <v>1665</v>
      </c>
      <c r="E12" s="8">
        <f t="shared" si="0"/>
        <v>5278</v>
      </c>
      <c r="F12" s="8">
        <f t="shared" ref="F12" si="10">+D12</f>
        <v>1665</v>
      </c>
      <c r="G12" s="9">
        <v>4.8163000000000002E-10</v>
      </c>
      <c r="H12" s="21">
        <f t="shared" si="2"/>
        <v>10958619687311.836</v>
      </c>
      <c r="I12" s="21">
        <f t="shared" si="3"/>
        <v>3457010568278.5537</v>
      </c>
    </row>
    <row r="13" spans="2:9" x14ac:dyDescent="0.25">
      <c r="B13" s="7">
        <v>25842</v>
      </c>
      <c r="C13" s="6">
        <v>5260</v>
      </c>
      <c r="D13" s="6">
        <v>1607</v>
      </c>
      <c r="E13" s="8">
        <f t="shared" si="0"/>
        <v>5260</v>
      </c>
      <c r="F13" s="8">
        <f t="shared" ref="F13" si="11">+D13</f>
        <v>1607</v>
      </c>
      <c r="G13" s="9">
        <v>5.0072999999999999E-10</v>
      </c>
      <c r="H13" s="21">
        <f t="shared" si="2"/>
        <v>10504663191740.061</v>
      </c>
      <c r="I13" s="21">
        <f t="shared" si="3"/>
        <v>3209314400974.5771</v>
      </c>
    </row>
    <row r="14" spans="2:9" x14ac:dyDescent="0.25">
      <c r="B14" s="7">
        <v>25873</v>
      </c>
      <c r="C14" s="6">
        <v>5393</v>
      </c>
      <c r="D14" s="6">
        <v>1615</v>
      </c>
      <c r="E14" s="8">
        <f t="shared" si="0"/>
        <v>5393</v>
      </c>
      <c r="F14" s="8">
        <f t="shared" ref="F14" si="12">+D14</f>
        <v>1615</v>
      </c>
      <c r="G14" s="9">
        <v>5.1367000000000005E-10</v>
      </c>
      <c r="H14" s="21">
        <f t="shared" si="2"/>
        <v>10498958475285.688</v>
      </c>
      <c r="I14" s="21">
        <f t="shared" si="3"/>
        <v>3144041894601.5923</v>
      </c>
    </row>
    <row r="15" spans="2:9" x14ac:dyDescent="0.25">
      <c r="B15" s="7">
        <v>25903</v>
      </c>
      <c r="C15" s="6">
        <v>5562</v>
      </c>
      <c r="D15" s="6">
        <v>1912</v>
      </c>
      <c r="E15" s="8">
        <f t="shared" si="0"/>
        <v>5562</v>
      </c>
      <c r="F15" s="8">
        <f t="shared" ref="F15" si="13">+D15</f>
        <v>1912</v>
      </c>
      <c r="G15" s="9">
        <v>5.6114999999999997E-10</v>
      </c>
      <c r="H15" s="21">
        <f t="shared" si="2"/>
        <v>9911788291900.5625</v>
      </c>
      <c r="I15" s="21">
        <f t="shared" si="3"/>
        <v>3407288603760.1357</v>
      </c>
    </row>
    <row r="16" spans="2:9" x14ac:dyDescent="0.25">
      <c r="B16" s="7">
        <v>25934</v>
      </c>
      <c r="C16" s="6">
        <v>5650</v>
      </c>
      <c r="D16" s="6">
        <v>1936</v>
      </c>
      <c r="E16" s="8">
        <f t="shared" si="0"/>
        <v>5650</v>
      </c>
      <c r="F16" s="8">
        <f t="shared" ref="F16" si="14">+D16</f>
        <v>1936</v>
      </c>
      <c r="G16" s="10">
        <v>5.5955999999999998E-10</v>
      </c>
      <c r="H16" s="21">
        <f t="shared" si="2"/>
        <v>10097219243691.473</v>
      </c>
      <c r="I16" s="21">
        <f t="shared" si="3"/>
        <v>3459861319608.2637</v>
      </c>
    </row>
    <row r="17" spans="2:9" x14ac:dyDescent="0.25">
      <c r="B17" s="7">
        <v>25965</v>
      </c>
      <c r="C17" s="6">
        <v>5673</v>
      </c>
      <c r="D17" s="6">
        <v>1992</v>
      </c>
      <c r="E17" s="8">
        <f t="shared" si="0"/>
        <v>5673</v>
      </c>
      <c r="F17" s="8">
        <f t="shared" ref="F17" si="15">+D17</f>
        <v>1992</v>
      </c>
      <c r="G17" s="10">
        <v>5.7823999999999996E-10</v>
      </c>
      <c r="H17" s="21">
        <f t="shared" si="2"/>
        <v>9810805201992.2539</v>
      </c>
      <c r="I17" s="21">
        <f t="shared" si="3"/>
        <v>3444936358605.4238</v>
      </c>
    </row>
    <row r="18" spans="2:9" x14ac:dyDescent="0.25">
      <c r="B18" s="7">
        <v>25993</v>
      </c>
      <c r="C18" s="6">
        <v>5744</v>
      </c>
      <c r="D18" s="6">
        <v>2095</v>
      </c>
      <c r="E18" s="8">
        <f t="shared" si="0"/>
        <v>5744</v>
      </c>
      <c r="F18" s="8">
        <f t="shared" ref="F18" si="16">+D18</f>
        <v>2095</v>
      </c>
      <c r="G18" s="10">
        <v>5.8432999999999999E-10</v>
      </c>
      <c r="H18" s="21">
        <f t="shared" si="2"/>
        <v>9830061780158.4727</v>
      </c>
      <c r="I18" s="21">
        <f t="shared" si="3"/>
        <v>3585302825458.2173</v>
      </c>
    </row>
    <row r="19" spans="2:9" x14ac:dyDescent="0.25">
      <c r="B19" s="7">
        <v>26024</v>
      </c>
      <c r="C19" s="6">
        <v>5829</v>
      </c>
      <c r="D19" s="6">
        <v>2123</v>
      </c>
      <c r="E19" s="8">
        <f t="shared" si="0"/>
        <v>5829</v>
      </c>
      <c r="F19" s="8">
        <f t="shared" ref="F19" si="17">+D19</f>
        <v>2123</v>
      </c>
      <c r="G19" s="10">
        <v>5.8959000000000003E-10</v>
      </c>
      <c r="H19" s="21">
        <f t="shared" si="2"/>
        <v>9886531318373.7852</v>
      </c>
      <c r="I19" s="21">
        <f t="shared" si="3"/>
        <v>3600807340694.3809</v>
      </c>
    </row>
    <row r="20" spans="2:9" x14ac:dyDescent="0.25">
      <c r="B20" s="7">
        <v>26054</v>
      </c>
      <c r="C20" s="6">
        <v>5880</v>
      </c>
      <c r="D20" s="6">
        <v>2226</v>
      </c>
      <c r="E20" s="8">
        <f t="shared" si="0"/>
        <v>5880</v>
      </c>
      <c r="F20" s="8">
        <f t="shared" ref="F20" si="18">+D20</f>
        <v>2226</v>
      </c>
      <c r="G20" s="10">
        <v>6.0392000000000002E-10</v>
      </c>
      <c r="H20" s="21">
        <f t="shared" si="2"/>
        <v>9736388925685.5215</v>
      </c>
      <c r="I20" s="21">
        <f t="shared" si="3"/>
        <v>3685918664723.8042</v>
      </c>
    </row>
    <row r="21" spans="2:9" x14ac:dyDescent="0.25">
      <c r="B21" s="7">
        <v>26085</v>
      </c>
      <c r="C21" s="6">
        <v>6019</v>
      </c>
      <c r="D21" s="6">
        <v>2455</v>
      </c>
      <c r="E21" s="8">
        <f t="shared" si="0"/>
        <v>6019</v>
      </c>
      <c r="F21" s="8">
        <f t="shared" ref="F21" si="19">+D21</f>
        <v>2455</v>
      </c>
      <c r="G21" s="10">
        <v>6.2273999999999996E-10</v>
      </c>
      <c r="H21" s="21">
        <f t="shared" si="2"/>
        <v>9665349905257.4121</v>
      </c>
      <c r="I21" s="21">
        <f t="shared" si="3"/>
        <v>3942255194784.3403</v>
      </c>
    </row>
    <row r="22" spans="2:9" x14ac:dyDescent="0.25">
      <c r="B22" s="7">
        <v>26115</v>
      </c>
      <c r="C22" s="6">
        <v>6106</v>
      </c>
      <c r="D22" s="6">
        <v>2722</v>
      </c>
      <c r="E22" s="8">
        <f t="shared" si="0"/>
        <v>6106</v>
      </c>
      <c r="F22" s="8">
        <f t="shared" ref="F22" si="20">+D22</f>
        <v>2722</v>
      </c>
      <c r="G22" s="10">
        <v>6.4953000000000003E-10</v>
      </c>
      <c r="H22" s="21">
        <f t="shared" si="2"/>
        <v>9400643542253.6289</v>
      </c>
      <c r="I22" s="21">
        <f t="shared" si="3"/>
        <v>4190722522439.3022</v>
      </c>
    </row>
    <row r="23" spans="2:9" x14ac:dyDescent="0.25">
      <c r="B23" s="7">
        <v>26146</v>
      </c>
      <c r="C23" s="6">
        <v>6177</v>
      </c>
      <c r="D23" s="6">
        <v>2949</v>
      </c>
      <c r="E23" s="8">
        <f t="shared" si="0"/>
        <v>6177</v>
      </c>
      <c r="F23" s="8">
        <f t="shared" ref="F23" si="21">+D23</f>
        <v>2949</v>
      </c>
      <c r="G23" s="10">
        <v>6.6655000000000004E-10</v>
      </c>
      <c r="H23" s="21">
        <f t="shared" si="2"/>
        <v>9267121746305.6035</v>
      </c>
      <c r="I23" s="21">
        <f t="shared" si="3"/>
        <v>4424274247993.3984</v>
      </c>
    </row>
    <row r="24" spans="2:9" x14ac:dyDescent="0.25">
      <c r="B24" s="7">
        <v>26177</v>
      </c>
      <c r="C24" s="6">
        <v>6494</v>
      </c>
      <c r="D24" s="6">
        <v>3070</v>
      </c>
      <c r="E24" s="8">
        <f t="shared" si="0"/>
        <v>6494</v>
      </c>
      <c r="F24" s="8">
        <f t="shared" ref="F24" si="22">+D24</f>
        <v>3070</v>
      </c>
      <c r="G24" s="10">
        <v>6.7256999999999998E-10</v>
      </c>
      <c r="H24" s="21">
        <f t="shared" si="2"/>
        <v>9655500542694.4414</v>
      </c>
      <c r="I24" s="21">
        <f t="shared" si="3"/>
        <v>4564580638446.5557</v>
      </c>
    </row>
    <row r="25" spans="2:9" x14ac:dyDescent="0.25">
      <c r="B25" s="7">
        <v>26207</v>
      </c>
      <c r="C25" s="6">
        <v>7071</v>
      </c>
      <c r="D25" s="6">
        <v>3051</v>
      </c>
      <c r="E25" s="8">
        <f t="shared" si="0"/>
        <v>7071</v>
      </c>
      <c r="F25" s="8">
        <f t="shared" ref="F25" si="23">+D25</f>
        <v>3051</v>
      </c>
      <c r="G25" s="10">
        <v>6.7949E-10</v>
      </c>
      <c r="H25" s="21">
        <f t="shared" si="2"/>
        <v>10406334162386.496</v>
      </c>
      <c r="I25" s="21">
        <f t="shared" si="3"/>
        <v>4490132305111.1865</v>
      </c>
    </row>
    <row r="26" spans="2:9" x14ac:dyDescent="0.25">
      <c r="B26" s="7">
        <v>26238</v>
      </c>
      <c r="C26" s="6">
        <v>7512</v>
      </c>
      <c r="D26" s="6">
        <v>3040</v>
      </c>
      <c r="E26" s="8">
        <f t="shared" si="0"/>
        <v>7512</v>
      </c>
      <c r="F26" s="8">
        <f t="shared" ref="F26" si="24">+D26</f>
        <v>3040</v>
      </c>
      <c r="G26" s="10">
        <v>6.9784000000000004E-10</v>
      </c>
      <c r="H26" s="21">
        <f t="shared" si="2"/>
        <v>10764645190874.699</v>
      </c>
      <c r="I26" s="21">
        <f t="shared" si="3"/>
        <v>4356299438266.6509</v>
      </c>
    </row>
    <row r="27" spans="2:9" x14ac:dyDescent="0.25">
      <c r="B27" s="7">
        <v>26268</v>
      </c>
      <c r="C27" s="6">
        <v>8399</v>
      </c>
      <c r="D27" s="6">
        <v>3296</v>
      </c>
      <c r="E27" s="8">
        <f t="shared" si="0"/>
        <v>8399</v>
      </c>
      <c r="F27" s="8">
        <f t="shared" ref="F27" si="25">+D27</f>
        <v>3296</v>
      </c>
      <c r="G27" s="10">
        <v>7.8068000000000004E-10</v>
      </c>
      <c r="H27" s="21">
        <f t="shared" si="2"/>
        <v>10758569452272.377</v>
      </c>
      <c r="I27" s="21">
        <f t="shared" si="3"/>
        <v>4221960342265.7168</v>
      </c>
    </row>
    <row r="28" spans="2:9" x14ac:dyDescent="0.25">
      <c r="B28" s="7">
        <v>26299</v>
      </c>
      <c r="C28" s="6">
        <v>8414</v>
      </c>
      <c r="D28" s="6">
        <v>3428</v>
      </c>
      <c r="E28" s="8">
        <f t="shared" si="0"/>
        <v>8414</v>
      </c>
      <c r="F28" s="8">
        <f t="shared" ref="F28" si="26">+D28</f>
        <v>3428</v>
      </c>
      <c r="G28" s="10">
        <v>8.2137000000000003E-10</v>
      </c>
      <c r="H28" s="21">
        <f t="shared" si="2"/>
        <v>10243860866600.922</v>
      </c>
      <c r="I28" s="21">
        <f t="shared" si="3"/>
        <v>4173514981068.2153</v>
      </c>
    </row>
    <row r="29" spans="2:9" x14ac:dyDescent="0.25">
      <c r="B29" s="7">
        <v>26330</v>
      </c>
      <c r="C29" s="6">
        <v>8826</v>
      </c>
      <c r="D29" s="6">
        <v>3475</v>
      </c>
      <c r="E29" s="8">
        <f t="shared" si="0"/>
        <v>8826</v>
      </c>
      <c r="F29" s="8">
        <f t="shared" ref="F29" si="27">+D29</f>
        <v>3475</v>
      </c>
      <c r="G29" s="10">
        <v>8.5104999999999997E-10</v>
      </c>
      <c r="H29" s="21">
        <f t="shared" si="2"/>
        <v>10370718524176.018</v>
      </c>
      <c r="I29" s="21">
        <f t="shared" si="3"/>
        <v>4083191351859.4678</v>
      </c>
    </row>
    <row r="30" spans="2:9" x14ac:dyDescent="0.25">
      <c r="B30" s="7">
        <v>26359</v>
      </c>
      <c r="C30" s="6">
        <v>8798</v>
      </c>
      <c r="D30" s="6">
        <v>3504</v>
      </c>
      <c r="E30" s="8">
        <f t="shared" si="0"/>
        <v>8798</v>
      </c>
      <c r="F30" s="8">
        <f t="shared" ref="F30" si="28">+D30</f>
        <v>3504</v>
      </c>
      <c r="G30" s="10">
        <v>8.8704999999999995E-10</v>
      </c>
      <c r="H30" s="21">
        <f t="shared" si="2"/>
        <v>9918268417789.3027</v>
      </c>
      <c r="I30" s="21">
        <f t="shared" si="3"/>
        <v>3950171918155.6846</v>
      </c>
    </row>
    <row r="31" spans="2:9" x14ac:dyDescent="0.25">
      <c r="B31" s="7">
        <v>26390</v>
      </c>
      <c r="C31" s="6">
        <v>8787</v>
      </c>
      <c r="D31" s="6">
        <v>3510</v>
      </c>
      <c r="E31" s="8">
        <f t="shared" si="0"/>
        <v>8787</v>
      </c>
      <c r="F31" s="8">
        <f t="shared" ref="F31" si="29">+D31</f>
        <v>3510</v>
      </c>
      <c r="G31" s="10">
        <v>9.3030999999999996E-10</v>
      </c>
      <c r="H31" s="21">
        <f t="shared" si="2"/>
        <v>9445238683879.5664</v>
      </c>
      <c r="I31" s="21">
        <f t="shared" si="3"/>
        <v>3772935903086.0684</v>
      </c>
    </row>
    <row r="32" spans="2:9" x14ac:dyDescent="0.25">
      <c r="B32" s="7">
        <v>26420</v>
      </c>
      <c r="C32" s="6">
        <v>8828</v>
      </c>
      <c r="D32" s="6">
        <v>3573</v>
      </c>
      <c r="E32" s="8">
        <f t="shared" si="0"/>
        <v>8828</v>
      </c>
      <c r="F32" s="8">
        <f t="shared" ref="F32" si="30">+D32</f>
        <v>3573</v>
      </c>
      <c r="G32" s="10">
        <v>9.452599999999999E-10</v>
      </c>
      <c r="H32" s="21">
        <f t="shared" si="2"/>
        <v>9339229418361.0859</v>
      </c>
      <c r="I32" s="21">
        <f t="shared" si="3"/>
        <v>3779912405052.5786</v>
      </c>
    </row>
    <row r="33" spans="2:9" x14ac:dyDescent="0.25">
      <c r="B33" s="7">
        <v>26451</v>
      </c>
      <c r="C33" s="6">
        <v>8947</v>
      </c>
      <c r="D33" s="6">
        <v>3688</v>
      </c>
      <c r="E33" s="8">
        <f t="shared" si="0"/>
        <v>8947</v>
      </c>
      <c r="F33" s="8">
        <f t="shared" ref="F33" si="31">+D33</f>
        <v>3688</v>
      </c>
      <c r="G33" s="10">
        <v>9.9723000000000008E-10</v>
      </c>
      <c r="H33" s="21">
        <f t="shared" si="2"/>
        <v>8971852030123.4414</v>
      </c>
      <c r="I33" s="21">
        <f t="shared" si="3"/>
        <v>3698244136257.4326</v>
      </c>
    </row>
    <row r="34" spans="2:9" x14ac:dyDescent="0.25">
      <c r="B34" s="7">
        <v>26481</v>
      </c>
      <c r="C34" s="6">
        <v>9197</v>
      </c>
      <c r="D34" s="6">
        <v>3906</v>
      </c>
      <c r="E34" s="8">
        <f t="shared" si="0"/>
        <v>9197</v>
      </c>
      <c r="F34" s="8">
        <f t="shared" ref="F34" si="32">+D34</f>
        <v>3906</v>
      </c>
      <c r="G34" s="10">
        <v>1.0467200000000001E-9</v>
      </c>
      <c r="H34" s="21">
        <f t="shared" si="2"/>
        <v>8786494955671.0479</v>
      </c>
      <c r="I34" s="21">
        <f t="shared" si="3"/>
        <v>3731656985631.3052</v>
      </c>
    </row>
    <row r="35" spans="2:9" x14ac:dyDescent="0.25">
      <c r="B35" s="7">
        <v>26512</v>
      </c>
      <c r="C35" s="6">
        <v>9515</v>
      </c>
      <c r="D35" s="6">
        <v>3999</v>
      </c>
      <c r="E35" s="8">
        <f t="shared" si="0"/>
        <v>9515</v>
      </c>
      <c r="F35" s="8">
        <f t="shared" ref="F35" si="33">+D35</f>
        <v>3999</v>
      </c>
      <c r="G35" s="10">
        <v>1.0453999999999999E-9</v>
      </c>
      <c r="H35" s="21">
        <f t="shared" si="2"/>
        <v>9101779223263.8223</v>
      </c>
      <c r="I35" s="21">
        <f t="shared" si="3"/>
        <v>3825330017218.29</v>
      </c>
    </row>
    <row r="36" spans="2:9" x14ac:dyDescent="0.25">
      <c r="B36" s="7">
        <v>26543</v>
      </c>
      <c r="C36" s="6">
        <v>9937</v>
      </c>
      <c r="D36" s="6">
        <v>4018</v>
      </c>
      <c r="E36" s="8">
        <f t="shared" si="0"/>
        <v>9937</v>
      </c>
      <c r="F36" s="8">
        <f t="shared" ref="F36" si="34">+D36</f>
        <v>4018</v>
      </c>
      <c r="G36" s="10">
        <v>1.07101E-9</v>
      </c>
      <c r="H36" s="21">
        <f t="shared" si="2"/>
        <v>9278158000392.1523</v>
      </c>
      <c r="I36" s="21">
        <f t="shared" si="3"/>
        <v>3751598957992.9224</v>
      </c>
    </row>
    <row r="37" spans="2:9" x14ac:dyDescent="0.25">
      <c r="B37" s="7">
        <v>26573</v>
      </c>
      <c r="C37" s="6">
        <v>10361</v>
      </c>
      <c r="D37" s="6">
        <v>4099</v>
      </c>
      <c r="E37" s="8">
        <f t="shared" si="0"/>
        <v>10361</v>
      </c>
      <c r="F37" s="8">
        <f t="shared" ref="F37" si="35">+D37</f>
        <v>4099</v>
      </c>
      <c r="G37" s="10">
        <v>1.1228499999999999E-9</v>
      </c>
      <c r="H37" s="21">
        <f t="shared" si="2"/>
        <v>9227412388119.5176</v>
      </c>
      <c r="I37" s="21">
        <f t="shared" si="3"/>
        <v>3650532128066.9727</v>
      </c>
    </row>
    <row r="38" spans="2:9" x14ac:dyDescent="0.25">
      <c r="B38" s="7">
        <v>26604</v>
      </c>
      <c r="C38" s="6">
        <v>10668</v>
      </c>
      <c r="D38" s="6">
        <v>4141</v>
      </c>
      <c r="E38" s="8">
        <f t="shared" si="0"/>
        <v>10668</v>
      </c>
      <c r="F38" s="8">
        <f t="shared" ref="F38" si="36">+D38</f>
        <v>4141</v>
      </c>
      <c r="G38" s="10">
        <v>1.1775900000000001E-9</v>
      </c>
      <c r="H38" s="21">
        <f t="shared" si="2"/>
        <v>9059180190049.168</v>
      </c>
      <c r="I38" s="21">
        <f t="shared" si="3"/>
        <v>3516504046399.8506</v>
      </c>
    </row>
    <row r="39" spans="2:9" x14ac:dyDescent="0.25">
      <c r="B39" s="7">
        <v>26634</v>
      </c>
      <c r="C39" s="6">
        <v>12075</v>
      </c>
      <c r="D39" s="6">
        <v>4604</v>
      </c>
      <c r="E39" s="8">
        <f t="shared" si="0"/>
        <v>12075</v>
      </c>
      <c r="F39" s="8">
        <f t="shared" ref="F39" si="37">+D39</f>
        <v>4604</v>
      </c>
      <c r="G39" s="10">
        <v>1.28148E-9</v>
      </c>
      <c r="H39" s="21">
        <f t="shared" si="2"/>
        <v>9422698754565.0332</v>
      </c>
      <c r="I39" s="21">
        <f t="shared" si="3"/>
        <v>3592720916440.3657</v>
      </c>
    </row>
    <row r="40" spans="2:9" x14ac:dyDescent="0.25">
      <c r="B40" s="7">
        <v>26665</v>
      </c>
      <c r="C40" s="6">
        <v>12546</v>
      </c>
      <c r="D40" s="6">
        <v>4584</v>
      </c>
      <c r="E40" s="8">
        <f t="shared" si="0"/>
        <v>12546</v>
      </c>
      <c r="F40" s="8">
        <f t="shared" ref="F40" si="38">+D40</f>
        <v>4584</v>
      </c>
      <c r="G40" s="10">
        <v>1.3407200000000001E-9</v>
      </c>
      <c r="H40" s="21">
        <f t="shared" si="2"/>
        <v>9357658571513.8125</v>
      </c>
      <c r="I40" s="21">
        <f t="shared" si="3"/>
        <v>3419058416373.2915</v>
      </c>
    </row>
    <row r="41" spans="2:9" x14ac:dyDescent="0.25">
      <c r="B41" s="7">
        <v>26696</v>
      </c>
      <c r="C41" s="6">
        <v>12788</v>
      </c>
      <c r="D41" s="6">
        <v>4589</v>
      </c>
      <c r="E41" s="8">
        <f t="shared" si="0"/>
        <v>12788</v>
      </c>
      <c r="F41" s="8">
        <f t="shared" ref="F41" si="39">+D41</f>
        <v>4589</v>
      </c>
      <c r="G41" s="10">
        <v>1.4421800000000001E-9</v>
      </c>
      <c r="H41" s="21">
        <f t="shared" si="2"/>
        <v>8867131703393.4727</v>
      </c>
      <c r="I41" s="21">
        <f t="shared" si="3"/>
        <v>3181988378704.4609</v>
      </c>
    </row>
    <row r="42" spans="2:9" x14ac:dyDescent="0.25">
      <c r="B42" s="7">
        <v>26724</v>
      </c>
      <c r="C42" s="6">
        <v>13802</v>
      </c>
      <c r="D42" s="6">
        <v>4536</v>
      </c>
      <c r="E42" s="8">
        <f t="shared" si="0"/>
        <v>13802</v>
      </c>
      <c r="F42" s="8">
        <f t="shared" ref="F42" si="40">+D42</f>
        <v>4536</v>
      </c>
      <c r="G42" s="10">
        <v>1.5660699999999999E-9</v>
      </c>
      <c r="H42" s="21">
        <f t="shared" si="2"/>
        <v>8813143729207.5078</v>
      </c>
      <c r="I42" s="21">
        <f t="shared" si="3"/>
        <v>2896422254433.0713</v>
      </c>
    </row>
    <row r="43" spans="2:9" x14ac:dyDescent="0.25">
      <c r="B43" s="7">
        <v>26755</v>
      </c>
      <c r="C43" s="6">
        <v>14462</v>
      </c>
      <c r="D43" s="6">
        <v>4796</v>
      </c>
      <c r="E43" s="8">
        <f t="shared" si="0"/>
        <v>14462</v>
      </c>
      <c r="F43" s="8">
        <f t="shared" ref="F43" si="41">+D43</f>
        <v>4796</v>
      </c>
      <c r="G43" s="10">
        <v>1.63603E-9</v>
      </c>
      <c r="H43" s="21">
        <f t="shared" si="2"/>
        <v>8839691203706.5332</v>
      </c>
      <c r="I43" s="21">
        <f t="shared" si="3"/>
        <v>2931486586431.7891</v>
      </c>
    </row>
    <row r="44" spans="2:9" x14ac:dyDescent="0.25">
      <c r="B44" s="7">
        <v>26785</v>
      </c>
      <c r="C44" s="6">
        <v>15711</v>
      </c>
      <c r="D44" s="6">
        <v>4728</v>
      </c>
      <c r="E44" s="8">
        <f t="shared" si="0"/>
        <v>15711</v>
      </c>
      <c r="F44" s="8">
        <f t="shared" ref="F44" si="42">+D44</f>
        <v>4728</v>
      </c>
      <c r="G44" s="10">
        <v>1.6926499999999999E-9</v>
      </c>
      <c r="H44" s="21">
        <f t="shared" si="2"/>
        <v>9281895253005.6426</v>
      </c>
      <c r="I44" s="21">
        <f t="shared" si="3"/>
        <v>2793253182878.918</v>
      </c>
    </row>
    <row r="45" spans="2:9" x14ac:dyDescent="0.25">
      <c r="B45" s="7">
        <v>26816</v>
      </c>
      <c r="C45" s="6">
        <v>17843</v>
      </c>
      <c r="D45" s="6">
        <v>5096</v>
      </c>
      <c r="E45" s="8">
        <f t="shared" si="0"/>
        <v>17843</v>
      </c>
      <c r="F45" s="8">
        <f t="shared" ref="F45" si="43">+D45</f>
        <v>5096</v>
      </c>
      <c r="G45" s="10">
        <v>1.6429600000000001E-9</v>
      </c>
      <c r="H45" s="21">
        <f t="shared" si="2"/>
        <v>10860276573988.41</v>
      </c>
      <c r="I45" s="21">
        <f t="shared" si="3"/>
        <v>3101718848906.8511</v>
      </c>
    </row>
    <row r="46" spans="2:9" x14ac:dyDescent="0.25">
      <c r="B46" s="7">
        <v>26846</v>
      </c>
      <c r="C46" s="6">
        <v>18783</v>
      </c>
      <c r="D46" s="6">
        <v>5432</v>
      </c>
      <c r="E46" s="8">
        <f t="shared" si="0"/>
        <v>18783</v>
      </c>
      <c r="F46" s="8">
        <f t="shared" ref="F46" si="44">+D46</f>
        <v>5432</v>
      </c>
      <c r="G46" s="10">
        <v>1.6428199999999999E-9</v>
      </c>
      <c r="H46" s="21">
        <f t="shared" si="2"/>
        <v>11433388928793.174</v>
      </c>
      <c r="I46" s="21">
        <f t="shared" si="3"/>
        <v>3306509538476.5225</v>
      </c>
    </row>
    <row r="47" spans="2:9" x14ac:dyDescent="0.25">
      <c r="B47" s="7">
        <v>26877</v>
      </c>
      <c r="C47" s="6">
        <v>19770</v>
      </c>
      <c r="D47" s="6">
        <v>6334</v>
      </c>
      <c r="E47" s="8">
        <f t="shared" si="0"/>
        <v>19770</v>
      </c>
      <c r="F47" s="8">
        <f t="shared" ref="F47" si="45">+D47</f>
        <v>6334</v>
      </c>
      <c r="G47" s="10">
        <v>1.65597E-9</v>
      </c>
      <c r="H47" s="21">
        <f t="shared" si="2"/>
        <v>11938622076486.893</v>
      </c>
      <c r="I47" s="21">
        <f t="shared" si="3"/>
        <v>3824948519598.7852</v>
      </c>
    </row>
    <row r="48" spans="2:9" x14ac:dyDescent="0.25">
      <c r="B48" s="7">
        <v>26908</v>
      </c>
      <c r="C48" s="6">
        <v>21075</v>
      </c>
      <c r="D48" s="6">
        <v>74284</v>
      </c>
      <c r="E48" s="8">
        <f t="shared" si="0"/>
        <v>21075</v>
      </c>
      <c r="F48" s="8">
        <f t="shared" ref="F48" si="46">+D48</f>
        <v>74284</v>
      </c>
      <c r="G48" s="10">
        <v>1.66462E-9</v>
      </c>
      <c r="H48" s="21">
        <f t="shared" si="2"/>
        <v>12660547151902.537</v>
      </c>
      <c r="I48" s="21">
        <f t="shared" si="3"/>
        <v>44625199745287.211</v>
      </c>
    </row>
    <row r="49" spans="2:9" x14ac:dyDescent="0.25">
      <c r="B49" s="7">
        <v>26938</v>
      </c>
      <c r="C49" s="6">
        <v>23013</v>
      </c>
      <c r="D49" s="6">
        <v>75981</v>
      </c>
      <c r="E49" s="8">
        <f t="shared" si="0"/>
        <v>23013</v>
      </c>
      <c r="F49" s="8">
        <f t="shared" ref="F49" si="47">+D49</f>
        <v>75981</v>
      </c>
      <c r="G49" s="10">
        <v>1.6904299999999999E-9</v>
      </c>
      <c r="H49" s="21">
        <f t="shared" si="2"/>
        <v>13613695923522.418</v>
      </c>
      <c r="I49" s="21">
        <f t="shared" si="3"/>
        <v>44947735191637.633</v>
      </c>
    </row>
    <row r="50" spans="2:9" x14ac:dyDescent="0.25">
      <c r="B50" s="7">
        <v>26969</v>
      </c>
      <c r="C50" s="6">
        <v>23492</v>
      </c>
      <c r="D50" s="6">
        <v>81055</v>
      </c>
      <c r="E50" s="8">
        <f t="shared" si="0"/>
        <v>23492</v>
      </c>
      <c r="F50" s="8">
        <f t="shared" ref="F50" si="48">+D50</f>
        <v>81055</v>
      </c>
      <c r="G50" s="10">
        <v>1.7038599999999999E-9</v>
      </c>
      <c r="H50" s="21">
        <f t="shared" si="2"/>
        <v>13787517753806.064</v>
      </c>
      <c r="I50" s="21">
        <f t="shared" si="3"/>
        <v>47571396710997.383</v>
      </c>
    </row>
    <row r="51" spans="2:9" x14ac:dyDescent="0.25">
      <c r="B51" s="7">
        <v>26999</v>
      </c>
      <c r="C51" s="6">
        <v>27392</v>
      </c>
      <c r="D51" s="6">
        <v>92526</v>
      </c>
      <c r="E51" s="8">
        <f t="shared" si="0"/>
        <v>27392</v>
      </c>
      <c r="F51" s="8">
        <f t="shared" ref="F51" si="49">+D51</f>
        <v>92526</v>
      </c>
      <c r="G51" s="10">
        <v>1.8423400000000001E-9</v>
      </c>
      <c r="H51" s="21">
        <f t="shared" si="2"/>
        <v>14868048242995.32</v>
      </c>
      <c r="I51" s="21">
        <f t="shared" si="3"/>
        <v>50222000282249.742</v>
      </c>
    </row>
    <row r="52" spans="2:9" x14ac:dyDescent="0.25">
      <c r="B52" s="7">
        <v>27030</v>
      </c>
      <c r="C52" s="6">
        <v>28799</v>
      </c>
      <c r="D52" s="6">
        <v>99189</v>
      </c>
      <c r="E52" s="8">
        <f t="shared" si="0"/>
        <v>28799</v>
      </c>
      <c r="F52" s="8">
        <f t="shared" ref="F52" si="50">+D52</f>
        <v>99189</v>
      </c>
      <c r="G52" s="10">
        <v>1.7369500000000001E-9</v>
      </c>
      <c r="H52" s="21">
        <f t="shared" si="2"/>
        <v>16580212441348.34</v>
      </c>
      <c r="I52" s="21">
        <f t="shared" si="3"/>
        <v>57105270733181.727</v>
      </c>
    </row>
    <row r="53" spans="2:9" x14ac:dyDescent="0.25">
      <c r="B53" s="7">
        <v>27061</v>
      </c>
      <c r="C53" s="6">
        <v>29724</v>
      </c>
      <c r="D53" s="6">
        <v>101756</v>
      </c>
      <c r="E53" s="8">
        <f t="shared" si="0"/>
        <v>29724</v>
      </c>
      <c r="F53" s="8">
        <f t="shared" ref="F53" si="51">+D53</f>
        <v>101756</v>
      </c>
      <c r="G53" s="10">
        <v>1.7641400000000001E-9</v>
      </c>
      <c r="H53" s="21">
        <f t="shared" si="2"/>
        <v>16849002913600.961</v>
      </c>
      <c r="I53" s="21">
        <f t="shared" si="3"/>
        <v>57680229460246.914</v>
      </c>
    </row>
    <row r="54" spans="2:9" x14ac:dyDescent="0.25">
      <c r="B54" s="7">
        <v>27089</v>
      </c>
      <c r="C54" s="6">
        <v>31312</v>
      </c>
      <c r="D54" s="6">
        <v>111367</v>
      </c>
      <c r="E54" s="8">
        <f t="shared" si="0"/>
        <v>31312</v>
      </c>
      <c r="F54" s="8">
        <f t="shared" ref="F54" si="52">+D54</f>
        <v>111367</v>
      </c>
      <c r="G54" s="10">
        <v>1.7851100000000001E-9</v>
      </c>
      <c r="H54" s="21">
        <f t="shared" si="2"/>
        <v>17540655757908.477</v>
      </c>
      <c r="I54" s="21">
        <f t="shared" si="3"/>
        <v>62386631636145.672</v>
      </c>
    </row>
    <row r="55" spans="2:9" x14ac:dyDescent="0.25">
      <c r="B55" s="7">
        <v>27120</v>
      </c>
      <c r="C55" s="6">
        <v>32207</v>
      </c>
      <c r="D55" s="6">
        <v>115191</v>
      </c>
      <c r="E55" s="8">
        <f t="shared" si="0"/>
        <v>32207</v>
      </c>
      <c r="F55" s="8">
        <f t="shared" ref="F55" si="53">+D55</f>
        <v>115191</v>
      </c>
      <c r="G55" s="10">
        <v>1.83577E-9</v>
      </c>
      <c r="H55" s="21">
        <f t="shared" si="2"/>
        <v>17544136792735.475</v>
      </c>
      <c r="I55" s="21">
        <f t="shared" si="3"/>
        <v>62748056673766.32</v>
      </c>
    </row>
    <row r="56" spans="2:9" x14ac:dyDescent="0.25">
      <c r="B56" s="7">
        <v>27150</v>
      </c>
      <c r="C56" s="6">
        <v>33315</v>
      </c>
      <c r="D56" s="6">
        <v>120817</v>
      </c>
      <c r="E56" s="8">
        <f t="shared" si="0"/>
        <v>33315</v>
      </c>
      <c r="F56" s="8">
        <f t="shared" ref="F56" si="54">+D56</f>
        <v>120817</v>
      </c>
      <c r="G56" s="10">
        <v>1.8968800000000002E-9</v>
      </c>
      <c r="H56" s="21">
        <f t="shared" si="2"/>
        <v>17563050904643.412</v>
      </c>
      <c r="I56" s="21">
        <f t="shared" si="3"/>
        <v>63692484500864.57</v>
      </c>
    </row>
    <row r="57" spans="2:9" x14ac:dyDescent="0.25">
      <c r="B57" s="7">
        <v>27181</v>
      </c>
      <c r="C57" s="6">
        <v>34129</v>
      </c>
      <c r="D57" s="6">
        <v>118765</v>
      </c>
      <c r="E57" s="8">
        <f t="shared" si="0"/>
        <v>34129</v>
      </c>
      <c r="F57" s="8">
        <f t="shared" ref="F57" si="55">+D57</f>
        <v>118765</v>
      </c>
      <c r="G57" s="10">
        <v>1.9695500000000001E-9</v>
      </c>
      <c r="H57" s="21">
        <f t="shared" si="2"/>
        <v>17328323728770.531</v>
      </c>
      <c r="I57" s="21">
        <f t="shared" si="3"/>
        <v>60300576273768.117</v>
      </c>
    </row>
    <row r="58" spans="2:9" x14ac:dyDescent="0.25">
      <c r="B58" s="7">
        <v>27211</v>
      </c>
      <c r="C58" s="6">
        <v>36149</v>
      </c>
      <c r="D58" s="6">
        <v>118080</v>
      </c>
      <c r="E58" s="8">
        <f t="shared" si="0"/>
        <v>36149</v>
      </c>
      <c r="F58" s="8">
        <f t="shared" ref="F58" si="56">+D58</f>
        <v>118080</v>
      </c>
      <c r="G58" s="10">
        <v>2.0147600000000002E-9</v>
      </c>
      <c r="H58" s="21">
        <f t="shared" si="2"/>
        <v>17942087395024.715</v>
      </c>
      <c r="I58" s="21">
        <f t="shared" si="3"/>
        <v>58607476821060.57</v>
      </c>
    </row>
    <row r="59" spans="2:9" x14ac:dyDescent="0.25">
      <c r="B59" s="7">
        <v>27242</v>
      </c>
      <c r="C59" s="6">
        <v>38263</v>
      </c>
      <c r="D59" s="6">
        <v>120212</v>
      </c>
      <c r="E59" s="8">
        <f t="shared" si="0"/>
        <v>38263</v>
      </c>
      <c r="F59" s="8">
        <f t="shared" ref="F59" si="57">+D59</f>
        <v>120212</v>
      </c>
      <c r="G59" s="10">
        <v>2.0521900000000001E-9</v>
      </c>
      <c r="H59" s="21">
        <f t="shared" si="2"/>
        <v>18644959774679.73</v>
      </c>
      <c r="I59" s="21">
        <f t="shared" si="3"/>
        <v>58577422168512.656</v>
      </c>
    </row>
    <row r="60" spans="2:9" x14ac:dyDescent="0.25">
      <c r="B60" s="7">
        <v>27273</v>
      </c>
      <c r="C60" s="6">
        <v>41005</v>
      </c>
      <c r="D60" s="6">
        <v>124627</v>
      </c>
      <c r="E60" s="8">
        <f t="shared" si="0"/>
        <v>41005</v>
      </c>
      <c r="F60" s="8">
        <f t="shared" ref="F60" si="58">+D60</f>
        <v>124627</v>
      </c>
      <c r="G60" s="10">
        <v>2.1200199999999999E-9</v>
      </c>
      <c r="H60" s="21">
        <f t="shared" si="2"/>
        <v>19341798662276.773</v>
      </c>
      <c r="I60" s="21">
        <f t="shared" si="3"/>
        <v>58785766172017.25</v>
      </c>
    </row>
    <row r="61" spans="2:9" x14ac:dyDescent="0.25">
      <c r="B61" s="7">
        <v>27303</v>
      </c>
      <c r="C61" s="6">
        <v>42759</v>
      </c>
      <c r="D61" s="6">
        <v>126963</v>
      </c>
      <c r="E61" s="8">
        <f t="shared" si="0"/>
        <v>42759</v>
      </c>
      <c r="F61" s="8">
        <f t="shared" ref="F61" si="59">+D61</f>
        <v>126963</v>
      </c>
      <c r="G61" s="10">
        <v>2.20016E-9</v>
      </c>
      <c r="H61" s="21">
        <f t="shared" si="2"/>
        <v>19434495673041.961</v>
      </c>
      <c r="I61" s="21">
        <f t="shared" si="3"/>
        <v>57706257726710.789</v>
      </c>
    </row>
    <row r="62" spans="2:9" x14ac:dyDescent="0.25">
      <c r="B62" s="7">
        <v>27334</v>
      </c>
      <c r="C62" s="6">
        <v>44461</v>
      </c>
      <c r="D62" s="6">
        <v>132487</v>
      </c>
      <c r="E62" s="8">
        <f t="shared" si="0"/>
        <v>44461</v>
      </c>
      <c r="F62" s="8">
        <f t="shared" ref="F62" si="60">+D62</f>
        <v>132487</v>
      </c>
      <c r="G62" s="10">
        <v>2.2911700000000001E-9</v>
      </c>
      <c r="H62" s="21">
        <f t="shared" si="2"/>
        <v>19405369309130.27</v>
      </c>
      <c r="I62" s="21">
        <f t="shared" si="3"/>
        <v>57825041354417.172</v>
      </c>
    </row>
    <row r="63" spans="2:9" x14ac:dyDescent="0.25">
      <c r="B63" s="7">
        <v>27364</v>
      </c>
      <c r="C63" s="6">
        <v>50937</v>
      </c>
      <c r="D63" s="6">
        <v>140323</v>
      </c>
      <c r="E63" s="8">
        <f t="shared" si="0"/>
        <v>50937</v>
      </c>
      <c r="F63" s="8">
        <f t="shared" ref="F63" si="61">+D63</f>
        <v>140323</v>
      </c>
      <c r="G63" s="10">
        <v>2.5811499999999999E-9</v>
      </c>
      <c r="H63" s="21">
        <f t="shared" si="2"/>
        <v>19734226991844.723</v>
      </c>
      <c r="I63" s="21">
        <f t="shared" si="3"/>
        <v>54364527439319.688</v>
      </c>
    </row>
    <row r="64" spans="2:9" x14ac:dyDescent="0.25">
      <c r="B64" s="7">
        <v>27395</v>
      </c>
      <c r="C64" s="6">
        <v>54159</v>
      </c>
      <c r="D64" s="6">
        <v>149163</v>
      </c>
      <c r="E64" s="8">
        <f t="shared" si="0"/>
        <v>54159</v>
      </c>
      <c r="F64" s="8">
        <f t="shared" ref="F64" si="62">+D64</f>
        <v>149163</v>
      </c>
      <c r="G64" s="11">
        <v>2.6557999999999999E-9</v>
      </c>
      <c r="H64" s="21">
        <f t="shared" si="2"/>
        <v>20392725355824.988</v>
      </c>
      <c r="I64" s="21">
        <f t="shared" si="3"/>
        <v>56164997364259.359</v>
      </c>
    </row>
    <row r="65" spans="2:9" x14ac:dyDescent="0.25">
      <c r="B65" s="7">
        <v>27426</v>
      </c>
      <c r="C65" s="6">
        <v>55099</v>
      </c>
      <c r="D65" s="6">
        <v>154595</v>
      </c>
      <c r="E65" s="8">
        <f t="shared" si="0"/>
        <v>55099</v>
      </c>
      <c r="F65" s="8">
        <f t="shared" ref="F65" si="63">+D65</f>
        <v>154595</v>
      </c>
      <c r="G65" s="11">
        <v>2.7783999999999998E-9</v>
      </c>
      <c r="H65" s="21">
        <f t="shared" si="2"/>
        <v>19831197811690.184</v>
      </c>
      <c r="I65" s="21">
        <f t="shared" si="3"/>
        <v>55641736251079.758</v>
      </c>
    </row>
    <row r="66" spans="2:9" x14ac:dyDescent="0.25">
      <c r="B66" s="7">
        <v>27454</v>
      </c>
      <c r="C66" s="6">
        <v>57910</v>
      </c>
      <c r="D66" s="6">
        <v>159080</v>
      </c>
      <c r="E66" s="8">
        <f t="shared" si="0"/>
        <v>57910</v>
      </c>
      <c r="F66" s="8">
        <f t="shared" ref="F66" si="64">+D66</f>
        <v>159080</v>
      </c>
      <c r="G66" s="11">
        <v>3.0036999999999999E-9</v>
      </c>
      <c r="H66" s="21">
        <f t="shared" si="2"/>
        <v>19279555215234.543</v>
      </c>
      <c r="I66" s="21">
        <f t="shared" si="3"/>
        <v>52961347671205.516</v>
      </c>
    </row>
    <row r="67" spans="2:9" x14ac:dyDescent="0.25">
      <c r="B67" s="7">
        <v>27485</v>
      </c>
      <c r="C67" s="6">
        <v>58919</v>
      </c>
      <c r="D67" s="6">
        <v>161688</v>
      </c>
      <c r="E67" s="8">
        <f t="shared" si="0"/>
        <v>58919</v>
      </c>
      <c r="F67" s="8">
        <f t="shared" ref="F67" si="65">+D67</f>
        <v>161688</v>
      </c>
      <c r="G67" s="11">
        <v>3.2949999999999999E-9</v>
      </c>
      <c r="H67" s="21">
        <f t="shared" si="2"/>
        <v>17881335356600.91</v>
      </c>
      <c r="I67" s="21">
        <f t="shared" si="3"/>
        <v>49070713201820.945</v>
      </c>
    </row>
    <row r="68" spans="2:9" x14ac:dyDescent="0.25">
      <c r="B68" s="7">
        <v>27515</v>
      </c>
      <c r="C68" s="6">
        <v>61608</v>
      </c>
      <c r="D68" s="6">
        <v>169014</v>
      </c>
      <c r="E68" s="8">
        <f t="shared" ref="E68:F120" si="66">+C68</f>
        <v>61608</v>
      </c>
      <c r="F68" s="8">
        <f t="shared" si="66"/>
        <v>169014</v>
      </c>
      <c r="G68" s="11">
        <v>3.4231999999999999E-9</v>
      </c>
      <c r="H68" s="21">
        <f t="shared" si="2"/>
        <v>17997195606450.105</v>
      </c>
      <c r="I68" s="21">
        <f t="shared" si="3"/>
        <v>49373101191867.258</v>
      </c>
    </row>
    <row r="69" spans="2:9" x14ac:dyDescent="0.25">
      <c r="B69" s="7">
        <v>27546</v>
      </c>
      <c r="C69" s="6">
        <v>66839</v>
      </c>
      <c r="D69" s="6">
        <v>182728</v>
      </c>
      <c r="E69" s="8">
        <f t="shared" si="66"/>
        <v>66839</v>
      </c>
      <c r="F69" s="8">
        <f t="shared" si="66"/>
        <v>182728</v>
      </c>
      <c r="G69" s="11">
        <v>4.1469000000000002E-9</v>
      </c>
      <c r="H69" s="21">
        <f t="shared" ref="H69:H132" si="67">+E69/G69</f>
        <v>16117822952084.689</v>
      </c>
      <c r="I69" s="21">
        <f t="shared" ref="I69:I132" si="68">+F69/G69</f>
        <v>44063758470182.547</v>
      </c>
    </row>
    <row r="70" spans="2:9" x14ac:dyDescent="0.25">
      <c r="B70" s="7">
        <v>27576</v>
      </c>
      <c r="C70" s="6">
        <v>74709</v>
      </c>
      <c r="D70" s="6">
        <v>198235</v>
      </c>
      <c r="E70" s="8">
        <f t="shared" si="66"/>
        <v>74709</v>
      </c>
      <c r="F70" s="8">
        <f t="shared" si="66"/>
        <v>198235</v>
      </c>
      <c r="G70" s="11">
        <v>5.5871999999999999E-9</v>
      </c>
      <c r="H70" s="21">
        <f t="shared" si="67"/>
        <v>13371456185567.01</v>
      </c>
      <c r="I70" s="21">
        <f t="shared" si="68"/>
        <v>35480204753722.797</v>
      </c>
    </row>
    <row r="71" spans="2:9" x14ac:dyDescent="0.25">
      <c r="B71" s="7">
        <v>27607</v>
      </c>
      <c r="C71" s="6">
        <v>84814</v>
      </c>
      <c r="D71" s="6">
        <v>220754</v>
      </c>
      <c r="E71" s="8">
        <f t="shared" si="66"/>
        <v>84814</v>
      </c>
      <c r="F71" s="8">
        <f t="shared" si="66"/>
        <v>220754</v>
      </c>
      <c r="G71" s="11">
        <v>6.8428000000000004E-9</v>
      </c>
      <c r="H71" s="21">
        <f t="shared" si="67"/>
        <v>12394633775647.395</v>
      </c>
      <c r="I71" s="21">
        <f t="shared" si="68"/>
        <v>32260770444847.137</v>
      </c>
    </row>
    <row r="72" spans="2:9" x14ac:dyDescent="0.25">
      <c r="B72" s="7">
        <v>27638</v>
      </c>
      <c r="C72" s="6">
        <v>99314</v>
      </c>
      <c r="D72" s="6">
        <v>268986</v>
      </c>
      <c r="E72" s="8">
        <f t="shared" si="66"/>
        <v>99314</v>
      </c>
      <c r="F72" s="8">
        <f t="shared" si="66"/>
        <v>268986</v>
      </c>
      <c r="G72" s="11">
        <v>7.5822999999999993E-9</v>
      </c>
      <c r="H72" s="21">
        <f t="shared" si="67"/>
        <v>13098136449362.332</v>
      </c>
      <c r="I72" s="21">
        <f t="shared" si="68"/>
        <v>35475515344948.109</v>
      </c>
    </row>
    <row r="73" spans="2:9" x14ac:dyDescent="0.25">
      <c r="B73" s="7">
        <v>27668</v>
      </c>
      <c r="C73" s="6">
        <v>110682</v>
      </c>
      <c r="D73" s="6">
        <v>292600</v>
      </c>
      <c r="E73" s="8">
        <f t="shared" si="66"/>
        <v>110682</v>
      </c>
      <c r="F73" s="8">
        <f t="shared" si="66"/>
        <v>292600</v>
      </c>
      <c r="G73" s="11">
        <v>8.6282000000000005E-9</v>
      </c>
      <c r="H73" s="21">
        <f t="shared" si="67"/>
        <v>12827936301893.789</v>
      </c>
      <c r="I73" s="21">
        <f t="shared" si="68"/>
        <v>33912055816972.254</v>
      </c>
    </row>
    <row r="74" spans="2:9" x14ac:dyDescent="0.25">
      <c r="B74" s="7">
        <v>27699</v>
      </c>
      <c r="C74" s="6">
        <v>131079</v>
      </c>
      <c r="D74" s="6">
        <v>321663</v>
      </c>
      <c r="E74" s="8">
        <f t="shared" si="66"/>
        <v>131079</v>
      </c>
      <c r="F74" s="8">
        <f t="shared" si="66"/>
        <v>321663</v>
      </c>
      <c r="G74" s="11">
        <v>9.4006999999999996E-9</v>
      </c>
      <c r="H74" s="21">
        <f t="shared" si="67"/>
        <v>13943536119650.664</v>
      </c>
      <c r="I74" s="21">
        <f t="shared" si="68"/>
        <v>34216920016594.512</v>
      </c>
    </row>
    <row r="75" spans="2:9" x14ac:dyDescent="0.25">
      <c r="B75" s="7">
        <v>27729</v>
      </c>
      <c r="C75" s="6">
        <v>170542</v>
      </c>
      <c r="D75" s="6">
        <v>374660</v>
      </c>
      <c r="E75" s="8">
        <f t="shared" si="66"/>
        <v>170542</v>
      </c>
      <c r="F75" s="8">
        <f t="shared" si="66"/>
        <v>374660</v>
      </c>
      <c r="G75" s="11">
        <v>1.1227E-8</v>
      </c>
      <c r="H75" s="21">
        <f t="shared" si="67"/>
        <v>15190344704729.67</v>
      </c>
      <c r="I75" s="21">
        <f t="shared" si="68"/>
        <v>33371336955553.574</v>
      </c>
    </row>
    <row r="76" spans="2:9" x14ac:dyDescent="0.25">
      <c r="B76" s="7">
        <v>27760</v>
      </c>
      <c r="C76" s="6">
        <v>189956</v>
      </c>
      <c r="D76" s="6">
        <v>430705</v>
      </c>
      <c r="E76" s="8">
        <f t="shared" si="66"/>
        <v>189956</v>
      </c>
      <c r="F76" s="8">
        <f t="shared" si="66"/>
        <v>430705</v>
      </c>
      <c r="G76" s="12">
        <v>1.22261E-8</v>
      </c>
      <c r="H76" s="21">
        <f t="shared" si="67"/>
        <v>15536925102853.73</v>
      </c>
      <c r="I76" s="21">
        <f t="shared" si="68"/>
        <v>35228323013880.141</v>
      </c>
    </row>
    <row r="77" spans="2:9" x14ac:dyDescent="0.25">
      <c r="B77" s="7">
        <v>27791</v>
      </c>
      <c r="C77" s="6">
        <v>208514</v>
      </c>
      <c r="D77" s="6">
        <v>469059</v>
      </c>
      <c r="E77" s="8">
        <f t="shared" si="66"/>
        <v>208514</v>
      </c>
      <c r="F77" s="8">
        <f t="shared" si="66"/>
        <v>469059</v>
      </c>
      <c r="G77" s="12">
        <v>1.4547299999999999E-8</v>
      </c>
      <c r="H77" s="21">
        <f t="shared" si="67"/>
        <v>14333518934785.15</v>
      </c>
      <c r="I77" s="21">
        <f t="shared" si="68"/>
        <v>32243715328617.684</v>
      </c>
    </row>
    <row r="78" spans="2:9" x14ac:dyDescent="0.25">
      <c r="B78" s="7">
        <v>27820</v>
      </c>
      <c r="C78" s="6">
        <v>254143</v>
      </c>
      <c r="D78" s="6">
        <v>538020</v>
      </c>
      <c r="E78" s="8">
        <f t="shared" si="66"/>
        <v>254143</v>
      </c>
      <c r="F78" s="8">
        <f t="shared" si="66"/>
        <v>538020</v>
      </c>
      <c r="G78" s="12">
        <v>2.0012800000000001E-8</v>
      </c>
      <c r="H78" s="21">
        <f t="shared" si="67"/>
        <v>12699022625519.666</v>
      </c>
      <c r="I78" s="21">
        <f t="shared" si="68"/>
        <v>26883794371602.172</v>
      </c>
    </row>
    <row r="79" spans="2:9" x14ac:dyDescent="0.25">
      <c r="B79" s="7">
        <v>27851</v>
      </c>
      <c r="C79" s="6">
        <v>266967</v>
      </c>
      <c r="D79" s="6">
        <v>615622</v>
      </c>
      <c r="E79" s="8">
        <f t="shared" si="66"/>
        <v>266967</v>
      </c>
      <c r="F79" s="8">
        <f t="shared" si="66"/>
        <v>615622</v>
      </c>
      <c r="G79" s="12">
        <v>2.68018E-8</v>
      </c>
      <c r="H79" s="21">
        <f t="shared" si="67"/>
        <v>9960786215851.1738</v>
      </c>
      <c r="I79" s="21">
        <f t="shared" si="68"/>
        <v>22969427426516.129</v>
      </c>
    </row>
    <row r="80" spans="2:9" x14ac:dyDescent="0.25">
      <c r="B80" s="7">
        <v>27881</v>
      </c>
      <c r="C80" s="6">
        <v>268109</v>
      </c>
      <c r="D80" s="6">
        <v>729576</v>
      </c>
      <c r="E80" s="8">
        <f t="shared" si="66"/>
        <v>268109</v>
      </c>
      <c r="F80" s="8">
        <f t="shared" si="66"/>
        <v>729576</v>
      </c>
      <c r="G80" s="12">
        <v>3.0042699999999997E-8</v>
      </c>
      <c r="H80" s="21">
        <f t="shared" si="67"/>
        <v>8924264463580.1719</v>
      </c>
      <c r="I80" s="21">
        <f t="shared" si="68"/>
        <v>24284634869702.125</v>
      </c>
    </row>
    <row r="81" spans="2:9" x14ac:dyDescent="0.25">
      <c r="B81" s="7">
        <v>27912</v>
      </c>
      <c r="C81" s="6">
        <v>304450</v>
      </c>
      <c r="D81" s="6">
        <v>860060</v>
      </c>
      <c r="E81" s="8">
        <f t="shared" si="66"/>
        <v>304450</v>
      </c>
      <c r="F81" s="8">
        <f t="shared" si="66"/>
        <v>860060</v>
      </c>
      <c r="G81" s="12">
        <v>3.0863399999999998E-8</v>
      </c>
      <c r="H81" s="21">
        <f t="shared" si="67"/>
        <v>9864434896997.7383</v>
      </c>
      <c r="I81" s="21">
        <f t="shared" si="68"/>
        <v>27866664074599.688</v>
      </c>
    </row>
    <row r="82" spans="2:9" x14ac:dyDescent="0.25">
      <c r="B82" s="7">
        <v>27942</v>
      </c>
      <c r="C82" s="6">
        <v>338741</v>
      </c>
      <c r="D82" s="6">
        <v>962103</v>
      </c>
      <c r="E82" s="8">
        <f t="shared" si="66"/>
        <v>338741</v>
      </c>
      <c r="F82" s="8">
        <f t="shared" si="66"/>
        <v>962103</v>
      </c>
      <c r="G82" s="12">
        <v>3.2172200000000003E-8</v>
      </c>
      <c r="H82" s="21">
        <f t="shared" si="67"/>
        <v>10528997084439.359</v>
      </c>
      <c r="I82" s="21">
        <f t="shared" si="68"/>
        <v>29904793579550.043</v>
      </c>
    </row>
    <row r="83" spans="2:9" x14ac:dyDescent="0.25">
      <c r="B83" s="7">
        <v>27973</v>
      </c>
      <c r="C83" s="6">
        <v>379937</v>
      </c>
      <c r="D83" s="6">
        <v>1076350</v>
      </c>
      <c r="E83" s="8">
        <f t="shared" si="66"/>
        <v>379937</v>
      </c>
      <c r="F83" s="8">
        <f t="shared" si="66"/>
        <v>1076350</v>
      </c>
      <c r="G83" s="12">
        <v>3.39464E-8</v>
      </c>
      <c r="H83" s="21">
        <f t="shared" si="67"/>
        <v>11192261918789.621</v>
      </c>
      <c r="I83" s="21">
        <f t="shared" si="68"/>
        <v>31707338627954.656</v>
      </c>
    </row>
    <row r="84" spans="2:9" x14ac:dyDescent="0.25">
      <c r="B84" s="7">
        <v>28004</v>
      </c>
      <c r="C84" s="6">
        <v>386465</v>
      </c>
      <c r="D84" s="6">
        <v>1213305</v>
      </c>
      <c r="E84" s="8">
        <f t="shared" si="66"/>
        <v>386465</v>
      </c>
      <c r="F84" s="8">
        <f t="shared" si="66"/>
        <v>1213305</v>
      </c>
      <c r="G84" s="12">
        <v>3.7529700000000003E-8</v>
      </c>
      <c r="H84" s="21">
        <f t="shared" si="67"/>
        <v>10297577651833.08</v>
      </c>
      <c r="I84" s="21">
        <f t="shared" si="68"/>
        <v>32329195277340.344</v>
      </c>
    </row>
    <row r="85" spans="2:9" x14ac:dyDescent="0.25">
      <c r="B85" s="7">
        <v>28034</v>
      </c>
      <c r="C85" s="6">
        <v>389375</v>
      </c>
      <c r="D85" s="6">
        <v>1283369</v>
      </c>
      <c r="E85" s="8">
        <f t="shared" si="66"/>
        <v>389375</v>
      </c>
      <c r="F85" s="8">
        <f t="shared" si="66"/>
        <v>1283369</v>
      </c>
      <c r="G85" s="12">
        <v>4.0704700000000003E-8</v>
      </c>
      <c r="H85" s="21">
        <f t="shared" si="67"/>
        <v>9565848661211.1133</v>
      </c>
      <c r="I85" s="21">
        <f t="shared" si="68"/>
        <v>31528766948288.523</v>
      </c>
    </row>
    <row r="86" spans="2:9" x14ac:dyDescent="0.25">
      <c r="B86" s="7">
        <v>28065</v>
      </c>
      <c r="C86" s="6">
        <v>392522</v>
      </c>
      <c r="D86" s="6">
        <v>1449737</v>
      </c>
      <c r="E86" s="8">
        <f t="shared" si="66"/>
        <v>392522</v>
      </c>
      <c r="F86" s="8">
        <f t="shared" si="66"/>
        <v>1449737</v>
      </c>
      <c r="G86" s="12">
        <v>4.3942200000000002E-8</v>
      </c>
      <c r="H86" s="21">
        <f t="shared" si="67"/>
        <v>8932688850353.418</v>
      </c>
      <c r="I86" s="21">
        <f t="shared" si="68"/>
        <v>32991907551283.277</v>
      </c>
    </row>
    <row r="87" spans="2:9" x14ac:dyDescent="0.25">
      <c r="B87" s="7">
        <v>28095</v>
      </c>
      <c r="C87" s="6">
        <v>436824</v>
      </c>
      <c r="D87" s="6">
        <v>1580388</v>
      </c>
      <c r="E87" s="8">
        <f t="shared" si="66"/>
        <v>436824</v>
      </c>
      <c r="F87" s="8">
        <f t="shared" si="66"/>
        <v>1580388</v>
      </c>
      <c r="G87" s="12">
        <v>5.0246300000000002E-8</v>
      </c>
      <c r="H87" s="21">
        <f t="shared" si="67"/>
        <v>8693655055198.0938</v>
      </c>
      <c r="I87" s="21">
        <f t="shared" si="68"/>
        <v>31452823391971.148</v>
      </c>
    </row>
    <row r="88" spans="2:9" x14ac:dyDescent="0.25">
      <c r="B88" s="7">
        <v>28126</v>
      </c>
      <c r="C88" s="6">
        <v>465350</v>
      </c>
      <c r="D88" s="6">
        <v>1667595</v>
      </c>
      <c r="E88" s="8">
        <f t="shared" si="66"/>
        <v>465350</v>
      </c>
      <c r="F88" s="8">
        <f t="shared" si="66"/>
        <v>1667595</v>
      </c>
      <c r="G88" s="12">
        <v>5.4282299999999999E-8</v>
      </c>
      <c r="H88" s="21">
        <f t="shared" si="67"/>
        <v>8572776024597.3369</v>
      </c>
      <c r="I88" s="21">
        <f t="shared" si="68"/>
        <v>30720787438999.453</v>
      </c>
    </row>
    <row r="89" spans="2:9" x14ac:dyDescent="0.25">
      <c r="B89" s="7">
        <v>28157</v>
      </c>
      <c r="C89" s="6">
        <v>510714</v>
      </c>
      <c r="D89" s="6">
        <v>1841185</v>
      </c>
      <c r="E89" s="8">
        <f t="shared" si="66"/>
        <v>510714</v>
      </c>
      <c r="F89" s="8">
        <f t="shared" si="66"/>
        <v>1841185</v>
      </c>
      <c r="G89" s="12">
        <v>5.8763199999999999E-8</v>
      </c>
      <c r="H89" s="21">
        <f t="shared" si="67"/>
        <v>8691051542461.9492</v>
      </c>
      <c r="I89" s="21">
        <f t="shared" si="68"/>
        <v>31332279385738.012</v>
      </c>
    </row>
    <row r="90" spans="2:9" x14ac:dyDescent="0.25">
      <c r="B90" s="7">
        <v>28185</v>
      </c>
      <c r="C90" s="6">
        <v>547801</v>
      </c>
      <c r="D90" s="6">
        <v>2021406</v>
      </c>
      <c r="E90" s="8">
        <f t="shared" si="66"/>
        <v>547801</v>
      </c>
      <c r="F90" s="8">
        <f t="shared" si="66"/>
        <v>2021406</v>
      </c>
      <c r="G90" s="12">
        <v>6.3197599999999999E-8</v>
      </c>
      <c r="H90" s="21">
        <f t="shared" si="67"/>
        <v>8668066508854.7666</v>
      </c>
      <c r="I90" s="21">
        <f t="shared" si="68"/>
        <v>31985486790637.621</v>
      </c>
    </row>
    <row r="91" spans="2:9" x14ac:dyDescent="0.25">
      <c r="B91" s="7">
        <v>28216</v>
      </c>
      <c r="C91" s="6">
        <v>596824</v>
      </c>
      <c r="D91" s="6">
        <v>2311663</v>
      </c>
      <c r="E91" s="8">
        <f t="shared" si="66"/>
        <v>596824</v>
      </c>
      <c r="F91" s="8">
        <f t="shared" si="66"/>
        <v>2311663</v>
      </c>
      <c r="G91" s="12">
        <v>6.6996399999999995E-8</v>
      </c>
      <c r="H91" s="21">
        <f t="shared" si="67"/>
        <v>8908299550423.6055</v>
      </c>
      <c r="I91" s="21">
        <f t="shared" si="68"/>
        <v>34504286797499.57</v>
      </c>
    </row>
    <row r="92" spans="2:9" x14ac:dyDescent="0.25">
      <c r="B92" s="7">
        <v>28246</v>
      </c>
      <c r="C92" s="6">
        <v>723805</v>
      </c>
      <c r="D92" s="6">
        <v>2816560</v>
      </c>
      <c r="E92" s="8">
        <f t="shared" si="66"/>
        <v>723805</v>
      </c>
      <c r="F92" s="8">
        <f t="shared" si="66"/>
        <v>2816560</v>
      </c>
      <c r="G92" s="12">
        <v>7.1348400000000006E-8</v>
      </c>
      <c r="H92" s="21">
        <f t="shared" si="67"/>
        <v>10144656362301.045</v>
      </c>
      <c r="I92" s="21">
        <f t="shared" si="68"/>
        <v>39476148028547.234</v>
      </c>
    </row>
    <row r="93" spans="2:9" x14ac:dyDescent="0.25">
      <c r="B93" s="7">
        <v>28277</v>
      </c>
      <c r="C93" s="6">
        <v>744081</v>
      </c>
      <c r="D93" s="6">
        <v>139508</v>
      </c>
      <c r="E93" s="8">
        <f t="shared" si="66"/>
        <v>744081</v>
      </c>
      <c r="F93" s="8">
        <f t="shared" si="66"/>
        <v>139508</v>
      </c>
      <c r="G93" s="12">
        <v>7.6804599999999997E-8</v>
      </c>
      <c r="H93" s="21">
        <f t="shared" si="67"/>
        <v>9687974418198.9102</v>
      </c>
      <c r="I93" s="21">
        <f t="shared" si="68"/>
        <v>1816401621777.8623</v>
      </c>
    </row>
    <row r="94" spans="2:9" x14ac:dyDescent="0.25">
      <c r="B94" s="7">
        <v>28307</v>
      </c>
      <c r="C94" s="6">
        <v>914361</v>
      </c>
      <c r="D94" s="6">
        <v>148204</v>
      </c>
      <c r="E94" s="8">
        <f t="shared" si="66"/>
        <v>914361</v>
      </c>
      <c r="F94" s="8">
        <f t="shared" ref="F94" si="69">+D94</f>
        <v>148204</v>
      </c>
      <c r="G94" s="12">
        <v>8.2450899999999996E-8</v>
      </c>
      <c r="H94" s="21">
        <f t="shared" si="67"/>
        <v>11089763726047.867</v>
      </c>
      <c r="I94" s="21">
        <f t="shared" si="68"/>
        <v>1797481895285.5579</v>
      </c>
    </row>
    <row r="95" spans="2:9" x14ac:dyDescent="0.25">
      <c r="B95" s="7">
        <v>28338</v>
      </c>
      <c r="C95" s="6">
        <v>905716</v>
      </c>
      <c r="D95" s="6">
        <v>149341</v>
      </c>
      <c r="E95" s="8">
        <f t="shared" si="66"/>
        <v>905716</v>
      </c>
      <c r="F95" s="8">
        <f t="shared" ref="F95" si="70">+D95</f>
        <v>149341</v>
      </c>
      <c r="G95" s="12">
        <v>9.1798899999999995E-8</v>
      </c>
      <c r="H95" s="21">
        <f t="shared" si="67"/>
        <v>9866305587539.7207</v>
      </c>
      <c r="I95" s="21">
        <f t="shared" si="68"/>
        <v>1626827772446.0752</v>
      </c>
    </row>
    <row r="96" spans="2:9" x14ac:dyDescent="0.25">
      <c r="B96" s="7">
        <v>28369</v>
      </c>
      <c r="C96" s="6">
        <v>931037</v>
      </c>
      <c r="D96" s="6">
        <v>163339</v>
      </c>
      <c r="E96" s="8">
        <f t="shared" si="66"/>
        <v>931037</v>
      </c>
      <c r="F96" s="8">
        <f t="shared" ref="F96" si="71">+D96</f>
        <v>163339</v>
      </c>
      <c r="G96" s="12">
        <v>9.9415499999999994E-8</v>
      </c>
      <c r="H96" s="21">
        <f t="shared" si="67"/>
        <v>9365109062470.1387</v>
      </c>
      <c r="I96" s="21">
        <f t="shared" si="68"/>
        <v>1642993295814.0332</v>
      </c>
    </row>
    <row r="97" spans="2:9" x14ac:dyDescent="0.25">
      <c r="B97" s="7">
        <v>28399</v>
      </c>
      <c r="C97" s="6">
        <v>1021276</v>
      </c>
      <c r="D97" s="6">
        <v>153868</v>
      </c>
      <c r="E97" s="8">
        <f t="shared" si="66"/>
        <v>1021276</v>
      </c>
      <c r="F97" s="8">
        <f t="shared" ref="F97" si="72">+D97</f>
        <v>153868</v>
      </c>
      <c r="G97" s="12">
        <v>1.118358E-7</v>
      </c>
      <c r="H97" s="21">
        <f t="shared" si="67"/>
        <v>9131923766808.125</v>
      </c>
      <c r="I97" s="21">
        <f t="shared" si="68"/>
        <v>1375838506095.5437</v>
      </c>
    </row>
    <row r="98" spans="2:9" x14ac:dyDescent="0.25">
      <c r="B98" s="7">
        <v>28430</v>
      </c>
      <c r="C98" s="6">
        <v>1046237</v>
      </c>
      <c r="D98" s="6">
        <v>592545</v>
      </c>
      <c r="E98" s="8">
        <f t="shared" si="66"/>
        <v>1046237</v>
      </c>
      <c r="F98" s="8">
        <f t="shared" ref="F98" si="73">+D98</f>
        <v>592545</v>
      </c>
      <c r="G98" s="12">
        <v>1.21944E-7</v>
      </c>
      <c r="H98" s="21">
        <f t="shared" si="67"/>
        <v>8579651315357.8691</v>
      </c>
      <c r="I98" s="21">
        <f t="shared" si="68"/>
        <v>4859156662074.3945</v>
      </c>
    </row>
    <row r="99" spans="2:9" x14ac:dyDescent="0.25">
      <c r="B99" s="7">
        <v>28460</v>
      </c>
      <c r="C99" s="6">
        <v>1259248</v>
      </c>
      <c r="D99" s="6">
        <v>609805</v>
      </c>
      <c r="E99" s="8">
        <f t="shared" si="66"/>
        <v>1259248</v>
      </c>
      <c r="F99" s="8">
        <f t="shared" ref="F99" si="74">+D99</f>
        <v>609805</v>
      </c>
      <c r="G99" s="12">
        <v>1.3085899999999999E-7</v>
      </c>
      <c r="H99" s="21">
        <f t="shared" si="67"/>
        <v>9622937665731.8184</v>
      </c>
      <c r="I99" s="21">
        <f t="shared" si="68"/>
        <v>4660015742134.6641</v>
      </c>
    </row>
    <row r="100" spans="2:9" x14ac:dyDescent="0.25">
      <c r="B100" s="7">
        <v>28491</v>
      </c>
      <c r="C100" s="6">
        <v>1344764</v>
      </c>
      <c r="D100" s="6">
        <v>572632</v>
      </c>
      <c r="E100" s="8">
        <f t="shared" si="66"/>
        <v>1344764</v>
      </c>
      <c r="F100" s="8">
        <f t="shared" ref="F100" si="75">+D100</f>
        <v>572632</v>
      </c>
      <c r="G100" s="13">
        <v>1.4833899999999999E-7</v>
      </c>
      <c r="H100" s="21">
        <f t="shared" si="67"/>
        <v>9065478397454.4805</v>
      </c>
      <c r="I100" s="21">
        <f t="shared" si="68"/>
        <v>3860292977571.6436</v>
      </c>
    </row>
    <row r="101" spans="2:9" x14ac:dyDescent="0.25">
      <c r="B101" s="7">
        <v>28522</v>
      </c>
      <c r="C101" s="6">
        <v>1409470</v>
      </c>
      <c r="D101" s="6">
        <v>565785</v>
      </c>
      <c r="E101" s="8">
        <f t="shared" si="66"/>
        <v>1409470</v>
      </c>
      <c r="F101" s="8">
        <f t="shared" ref="F101" si="76">+D101</f>
        <v>565785</v>
      </c>
      <c r="G101" s="13">
        <v>1.57542E-7</v>
      </c>
      <c r="H101" s="21">
        <f t="shared" si="67"/>
        <v>8946630104987.877</v>
      </c>
      <c r="I101" s="21">
        <f t="shared" si="68"/>
        <v>3591328026811.8979</v>
      </c>
    </row>
    <row r="102" spans="2:9" x14ac:dyDescent="0.25">
      <c r="B102" s="7">
        <v>28550</v>
      </c>
      <c r="C102" s="6">
        <v>1474353</v>
      </c>
      <c r="D102" s="6">
        <v>570141</v>
      </c>
      <c r="E102" s="8">
        <f t="shared" si="66"/>
        <v>1474353</v>
      </c>
      <c r="F102" s="8">
        <f t="shared" ref="F102" si="77">+D102</f>
        <v>570141</v>
      </c>
      <c r="G102" s="13">
        <v>1.7249600000000001E-7</v>
      </c>
      <c r="H102" s="21">
        <f t="shared" si="67"/>
        <v>8547172108338.7432</v>
      </c>
      <c r="I102" s="21">
        <f t="shared" si="68"/>
        <v>3305241860680.8271</v>
      </c>
    </row>
    <row r="103" spans="2:9" x14ac:dyDescent="0.25">
      <c r="B103" s="7">
        <v>28581</v>
      </c>
      <c r="C103" s="6">
        <v>1578491</v>
      </c>
      <c r="D103" s="6">
        <v>564904</v>
      </c>
      <c r="E103" s="8">
        <f t="shared" si="66"/>
        <v>1578491</v>
      </c>
      <c r="F103" s="8">
        <f t="shared" ref="F103" si="78">+D103</f>
        <v>564904</v>
      </c>
      <c r="G103" s="13">
        <v>1.9159899999999999E-7</v>
      </c>
      <c r="H103" s="21">
        <f t="shared" si="67"/>
        <v>8238513770948.7002</v>
      </c>
      <c r="I103" s="21">
        <f t="shared" si="68"/>
        <v>2948366118821.0796</v>
      </c>
    </row>
    <row r="104" spans="2:9" x14ac:dyDescent="0.25">
      <c r="B104" s="7">
        <v>28611</v>
      </c>
      <c r="C104" s="6">
        <v>1678001</v>
      </c>
      <c r="D104" s="6">
        <v>558344</v>
      </c>
      <c r="E104" s="8">
        <f t="shared" si="66"/>
        <v>1678001</v>
      </c>
      <c r="F104" s="8">
        <f t="shared" ref="F104" si="79">+D104</f>
        <v>558344</v>
      </c>
      <c r="G104" s="13">
        <v>2.08252E-7</v>
      </c>
      <c r="H104" s="21">
        <f t="shared" si="67"/>
        <v>8057550467702.5908</v>
      </c>
      <c r="I104" s="21">
        <f t="shared" si="68"/>
        <v>2681097900620.4023</v>
      </c>
    </row>
    <row r="105" spans="2:9" x14ac:dyDescent="0.25">
      <c r="B105" s="7">
        <v>28642</v>
      </c>
      <c r="C105" s="6">
        <v>1791242</v>
      </c>
      <c r="D105" s="6">
        <v>534309</v>
      </c>
      <c r="E105" s="8">
        <f t="shared" si="66"/>
        <v>1791242</v>
      </c>
      <c r="F105" s="8">
        <f t="shared" ref="F105" si="80">+D105</f>
        <v>534309</v>
      </c>
      <c r="G105" s="13">
        <v>2.2177000000000001E-7</v>
      </c>
      <c r="H105" s="21">
        <f t="shared" si="67"/>
        <v>8077025747395.9502</v>
      </c>
      <c r="I105" s="21">
        <f t="shared" si="68"/>
        <v>2409293412093.6104</v>
      </c>
    </row>
    <row r="106" spans="2:9" x14ac:dyDescent="0.25">
      <c r="B106" s="7">
        <v>28672</v>
      </c>
      <c r="C106" s="6">
        <v>1948211</v>
      </c>
      <c r="D106" s="6">
        <v>542564</v>
      </c>
      <c r="E106" s="8">
        <f t="shared" si="66"/>
        <v>1948211</v>
      </c>
      <c r="F106" s="8">
        <f t="shared" ref="F106" si="81">+D106</f>
        <v>542564</v>
      </c>
      <c r="G106" s="13">
        <v>2.36402E-7</v>
      </c>
      <c r="H106" s="21">
        <f t="shared" si="67"/>
        <v>8241093560968.1816</v>
      </c>
      <c r="I106" s="21">
        <f t="shared" si="68"/>
        <v>2295090566069.6611</v>
      </c>
    </row>
    <row r="107" spans="2:9" x14ac:dyDescent="0.25">
      <c r="B107" s="7">
        <v>28703</v>
      </c>
      <c r="C107" s="6">
        <v>2182116</v>
      </c>
      <c r="D107" s="6">
        <v>414446</v>
      </c>
      <c r="E107" s="8">
        <f t="shared" si="66"/>
        <v>2182116</v>
      </c>
      <c r="F107" s="8">
        <f t="shared" ref="F107" si="82">+D107</f>
        <v>414446</v>
      </c>
      <c r="G107" s="13">
        <v>2.5485900000000002E-7</v>
      </c>
      <c r="H107" s="21">
        <f t="shared" si="67"/>
        <v>8562051958141.5596</v>
      </c>
      <c r="I107" s="21">
        <f t="shared" si="68"/>
        <v>1626177611934.4421</v>
      </c>
    </row>
    <row r="108" spans="2:9" x14ac:dyDescent="0.25">
      <c r="B108" s="7">
        <v>28734</v>
      </c>
      <c r="C108" s="6">
        <v>2327245</v>
      </c>
      <c r="D108" s="6">
        <v>495074</v>
      </c>
      <c r="E108" s="8">
        <f t="shared" si="66"/>
        <v>2327245</v>
      </c>
      <c r="F108" s="8">
        <f t="shared" ref="F108" si="83">+D108</f>
        <v>495074</v>
      </c>
      <c r="G108" s="13">
        <v>2.7114900000000001E-7</v>
      </c>
      <c r="H108" s="21">
        <f t="shared" si="67"/>
        <v>8582900914257.4746</v>
      </c>
      <c r="I108" s="21">
        <f t="shared" si="68"/>
        <v>1825837454683.5872</v>
      </c>
    </row>
    <row r="109" spans="2:9" x14ac:dyDescent="0.25">
      <c r="B109" s="7">
        <v>28764</v>
      </c>
      <c r="C109" s="6">
        <v>2471303</v>
      </c>
      <c r="D109" s="6">
        <v>383132</v>
      </c>
      <c r="E109" s="8">
        <f t="shared" si="66"/>
        <v>2471303</v>
      </c>
      <c r="F109" s="8">
        <f t="shared" ref="F109" si="84">+D109</f>
        <v>383132</v>
      </c>
      <c r="G109" s="13">
        <v>2.97605E-7</v>
      </c>
      <c r="H109" s="21">
        <f t="shared" si="67"/>
        <v>8303970027385.293</v>
      </c>
      <c r="I109" s="21">
        <f t="shared" si="68"/>
        <v>1287384284538.2302</v>
      </c>
    </row>
    <row r="110" spans="2:9" x14ac:dyDescent="0.25">
      <c r="B110" s="7">
        <v>28795</v>
      </c>
      <c r="C110" s="6">
        <v>2609611</v>
      </c>
      <c r="D110" s="6">
        <v>416695</v>
      </c>
      <c r="E110" s="8">
        <f t="shared" si="66"/>
        <v>2609611</v>
      </c>
      <c r="F110" s="8">
        <f t="shared" ref="F110" si="85">+D110</f>
        <v>416695</v>
      </c>
      <c r="G110" s="13">
        <v>3.23776E-7</v>
      </c>
      <c r="H110" s="21">
        <f t="shared" si="67"/>
        <v>8059927233643.0127</v>
      </c>
      <c r="I110" s="21">
        <f t="shared" si="68"/>
        <v>1286985446728.6025</v>
      </c>
    </row>
    <row r="111" spans="2:9" x14ac:dyDescent="0.25">
      <c r="B111" s="7">
        <v>28825</v>
      </c>
      <c r="C111" s="6">
        <v>2768698</v>
      </c>
      <c r="D111" s="6">
        <v>631439</v>
      </c>
      <c r="E111" s="8">
        <f t="shared" si="66"/>
        <v>2768698</v>
      </c>
      <c r="F111" s="8">
        <f t="shared" ref="F111" si="86">+D111</f>
        <v>631439</v>
      </c>
      <c r="G111" s="13">
        <v>3.5311600000000002E-7</v>
      </c>
      <c r="H111" s="21">
        <f t="shared" si="67"/>
        <v>7840760543277.5625</v>
      </c>
      <c r="I111" s="21">
        <f t="shared" si="68"/>
        <v>1788191415852.0144</v>
      </c>
    </row>
    <row r="112" spans="2:9" x14ac:dyDescent="0.25">
      <c r="B112" s="7">
        <v>28856</v>
      </c>
      <c r="C112" s="6">
        <v>2801714</v>
      </c>
      <c r="D112" s="6">
        <v>595063</v>
      </c>
      <c r="E112" s="8">
        <f t="shared" si="66"/>
        <v>2801714</v>
      </c>
      <c r="F112" s="8">
        <f t="shared" ref="F112" si="87">+D112</f>
        <v>595063</v>
      </c>
      <c r="G112" s="13">
        <v>3.9821200000000002E-7</v>
      </c>
      <c r="H112" s="21">
        <f t="shared" si="67"/>
        <v>7035734734262.1514</v>
      </c>
      <c r="I112" s="21">
        <f t="shared" si="68"/>
        <v>1494337187226.9043</v>
      </c>
    </row>
    <row r="113" spans="2:9" x14ac:dyDescent="0.25">
      <c r="B113" s="7">
        <v>28887</v>
      </c>
      <c r="C113" s="6">
        <v>2862505</v>
      </c>
      <c r="D113" s="6">
        <v>580619</v>
      </c>
      <c r="E113" s="8">
        <f t="shared" si="66"/>
        <v>2862505</v>
      </c>
      <c r="F113" s="8">
        <f t="shared" ref="F113" si="88">+D113</f>
        <v>580619</v>
      </c>
      <c r="G113" s="13">
        <v>4.2785200000000001E-7</v>
      </c>
      <c r="H113" s="21">
        <f t="shared" si="67"/>
        <v>6690409300412.292</v>
      </c>
      <c r="I113" s="21">
        <f t="shared" si="68"/>
        <v>1357055710853.2856</v>
      </c>
    </row>
    <row r="114" spans="2:9" x14ac:dyDescent="0.25">
      <c r="B114" s="7">
        <v>28915</v>
      </c>
      <c r="C114" s="6">
        <v>3004386</v>
      </c>
      <c r="D114" s="6">
        <v>561124</v>
      </c>
      <c r="E114" s="8">
        <f t="shared" si="66"/>
        <v>3004386</v>
      </c>
      <c r="F114" s="8">
        <f t="shared" ref="F114" si="89">+D114</f>
        <v>561124</v>
      </c>
      <c r="G114" s="13">
        <v>4.6101000000000002E-7</v>
      </c>
      <c r="H114" s="21">
        <f t="shared" si="67"/>
        <v>6516964924838.9404</v>
      </c>
      <c r="I114" s="21">
        <f t="shared" si="68"/>
        <v>1217162317520.2273</v>
      </c>
    </row>
    <row r="115" spans="2:9" x14ac:dyDescent="0.25">
      <c r="B115" s="7">
        <v>28946</v>
      </c>
      <c r="C115" s="6">
        <v>3080430</v>
      </c>
      <c r="D115" s="6">
        <v>660272</v>
      </c>
      <c r="E115" s="8">
        <f t="shared" si="66"/>
        <v>3080430</v>
      </c>
      <c r="F115" s="8">
        <f t="shared" ref="F115" si="90">+D115</f>
        <v>660272</v>
      </c>
      <c r="G115" s="13">
        <v>4.9328799999999999E-7</v>
      </c>
      <c r="H115" s="21">
        <f t="shared" si="67"/>
        <v>6244688701123.8867</v>
      </c>
      <c r="I115" s="21">
        <f t="shared" si="68"/>
        <v>1338512187606.4287</v>
      </c>
    </row>
    <row r="116" spans="2:9" x14ac:dyDescent="0.25">
      <c r="B116" s="7">
        <v>28976</v>
      </c>
      <c r="C116" s="6">
        <v>3109320</v>
      </c>
      <c r="D116" s="6">
        <v>579620</v>
      </c>
      <c r="E116" s="8">
        <f t="shared" si="66"/>
        <v>3109320</v>
      </c>
      <c r="F116" s="8">
        <f t="shared" ref="F116" si="91">+D116</f>
        <v>579620</v>
      </c>
      <c r="G116" s="13">
        <v>5.27426E-7</v>
      </c>
      <c r="H116" s="21">
        <f t="shared" si="67"/>
        <v>5895272512162.8438</v>
      </c>
      <c r="I116" s="21">
        <f t="shared" si="68"/>
        <v>1098959854083.7957</v>
      </c>
    </row>
    <row r="117" spans="2:9" x14ac:dyDescent="0.25">
      <c r="B117" s="7">
        <v>29007</v>
      </c>
      <c r="C117" s="6">
        <v>3537646</v>
      </c>
      <c r="D117" s="6">
        <v>744768</v>
      </c>
      <c r="E117" s="8">
        <f t="shared" si="66"/>
        <v>3537646</v>
      </c>
      <c r="F117" s="8">
        <f t="shared" ref="F117" si="92">+D117</f>
        <v>744768</v>
      </c>
      <c r="G117" s="13">
        <v>5.7856000000000001E-7</v>
      </c>
      <c r="H117" s="21">
        <f t="shared" si="67"/>
        <v>6114570658185.8408</v>
      </c>
      <c r="I117" s="21">
        <f t="shared" si="68"/>
        <v>1287278761061.9468</v>
      </c>
    </row>
    <row r="118" spans="2:9" x14ac:dyDescent="0.25">
      <c r="B118" s="7">
        <v>29037</v>
      </c>
      <c r="C118" s="6">
        <v>3321104</v>
      </c>
      <c r="D118" s="6">
        <v>670316</v>
      </c>
      <c r="E118" s="8">
        <f t="shared" si="66"/>
        <v>3321104</v>
      </c>
      <c r="F118" s="8">
        <f t="shared" ref="F118" si="93">+D118</f>
        <v>670316</v>
      </c>
      <c r="G118" s="13">
        <v>6.1993799999999998E-7</v>
      </c>
      <c r="H118" s="21">
        <f t="shared" si="67"/>
        <v>5357155070345.7441</v>
      </c>
      <c r="I118" s="21">
        <f t="shared" si="68"/>
        <v>1081262965006.1781</v>
      </c>
    </row>
    <row r="119" spans="2:9" x14ac:dyDescent="0.25">
      <c r="B119" s="7">
        <v>29068</v>
      </c>
      <c r="C119" s="6">
        <v>3445637</v>
      </c>
      <c r="D119" s="6">
        <v>660739</v>
      </c>
      <c r="E119" s="8">
        <f t="shared" si="66"/>
        <v>3445637</v>
      </c>
      <c r="F119" s="8">
        <f t="shared" ref="F119" si="94">+D119</f>
        <v>660739</v>
      </c>
      <c r="G119" s="13">
        <v>6.90922E-7</v>
      </c>
      <c r="H119" s="21">
        <f t="shared" si="67"/>
        <v>4987013005809.6279</v>
      </c>
      <c r="I119" s="21">
        <f t="shared" si="68"/>
        <v>956314895169.06396</v>
      </c>
    </row>
    <row r="120" spans="2:9" x14ac:dyDescent="0.25">
      <c r="B120" s="7">
        <v>29099</v>
      </c>
      <c r="C120" s="6">
        <v>3931123</v>
      </c>
      <c r="D120" s="6">
        <v>1061404</v>
      </c>
      <c r="E120" s="8">
        <f t="shared" si="66"/>
        <v>3931123</v>
      </c>
      <c r="F120" s="8">
        <f t="shared" ref="F120" si="95">+D120</f>
        <v>1061404</v>
      </c>
      <c r="G120" s="13">
        <v>7.3821899999999997E-7</v>
      </c>
      <c r="H120" s="21">
        <f t="shared" si="67"/>
        <v>5325144706381.1689</v>
      </c>
      <c r="I120" s="21">
        <f t="shared" si="68"/>
        <v>1437790140866.0574</v>
      </c>
    </row>
    <row r="121" spans="2:9" x14ac:dyDescent="0.25">
      <c r="B121" s="7">
        <v>29129</v>
      </c>
      <c r="C121" s="6">
        <v>3721994</v>
      </c>
      <c r="D121" s="6">
        <v>801948</v>
      </c>
      <c r="E121" s="8">
        <f>+C121</f>
        <v>3721994</v>
      </c>
      <c r="F121" s="8">
        <f t="shared" ref="F121" si="96">+D121</f>
        <v>801948</v>
      </c>
      <c r="G121" s="13">
        <v>7.7026199999999997E-7</v>
      </c>
      <c r="H121" s="21">
        <f t="shared" si="67"/>
        <v>4832114267612.8389</v>
      </c>
      <c r="I121" s="21">
        <f t="shared" si="68"/>
        <v>1041136652204.0553</v>
      </c>
    </row>
    <row r="122" spans="2:9" x14ac:dyDescent="0.25">
      <c r="B122" s="7">
        <v>29160</v>
      </c>
      <c r="C122" s="6">
        <v>4308</v>
      </c>
      <c r="D122" s="6">
        <v>669</v>
      </c>
      <c r="E122">
        <f>+C122*1000</f>
        <v>4308000</v>
      </c>
      <c r="F122">
        <f>+D122*1000</f>
        <v>669000</v>
      </c>
      <c r="G122" s="13">
        <v>8.0984900000000004E-7</v>
      </c>
      <c r="H122" s="21">
        <f t="shared" si="67"/>
        <v>5319510180292.8691</v>
      </c>
      <c r="I122" s="21">
        <f t="shared" si="68"/>
        <v>826079923541.30212</v>
      </c>
    </row>
    <row r="123" spans="2:9" x14ac:dyDescent="0.25">
      <c r="B123" s="7">
        <v>29190</v>
      </c>
      <c r="C123" s="6">
        <v>3982</v>
      </c>
      <c r="D123" s="6">
        <v>978</v>
      </c>
      <c r="E123">
        <f>+C123*1000</f>
        <v>3982000</v>
      </c>
      <c r="F123">
        <f t="shared" ref="F123:F159" si="97">+D123*1000</f>
        <v>978000</v>
      </c>
      <c r="G123" s="13">
        <v>8.4654400000000001E-7</v>
      </c>
      <c r="H123" s="21">
        <f t="shared" si="67"/>
        <v>4703831106239.0137</v>
      </c>
      <c r="I123" s="21">
        <f t="shared" si="68"/>
        <v>1155285490181.2546</v>
      </c>
    </row>
    <row r="124" spans="2:9" x14ac:dyDescent="0.25">
      <c r="B124" s="7">
        <v>29221</v>
      </c>
      <c r="C124" s="6">
        <v>4143</v>
      </c>
      <c r="D124" s="6">
        <v>637</v>
      </c>
      <c r="E124">
        <f>+C124*1000</f>
        <v>4143000</v>
      </c>
      <c r="F124">
        <f t="shared" si="97"/>
        <v>637000</v>
      </c>
      <c r="G124" s="13">
        <v>9.0757800000000003E-7</v>
      </c>
      <c r="H124" s="21">
        <f t="shared" si="67"/>
        <v>4564896901423.3486</v>
      </c>
      <c r="I124" s="21">
        <f t="shared" si="68"/>
        <v>701868048806.82434</v>
      </c>
    </row>
    <row r="125" spans="2:9" x14ac:dyDescent="0.25">
      <c r="B125" s="7">
        <v>29252</v>
      </c>
      <c r="C125" s="6">
        <v>4230</v>
      </c>
      <c r="D125" s="6">
        <v>645</v>
      </c>
      <c r="E125">
        <f>+C125*1000</f>
        <v>4230000</v>
      </c>
      <c r="F125">
        <f t="shared" si="97"/>
        <v>645000</v>
      </c>
      <c r="G125" s="13">
        <v>9.5609200000000004E-7</v>
      </c>
      <c r="H125" s="21">
        <f t="shared" si="67"/>
        <v>4424260426820.8496</v>
      </c>
      <c r="I125" s="21">
        <f t="shared" si="68"/>
        <v>674621270756.37073</v>
      </c>
    </row>
    <row r="126" spans="2:9" x14ac:dyDescent="0.25">
      <c r="B126" s="7">
        <v>29281</v>
      </c>
      <c r="C126" s="6">
        <v>3995</v>
      </c>
      <c r="D126" s="6">
        <v>851</v>
      </c>
      <c r="E126">
        <f>+C126*1000</f>
        <v>3995000</v>
      </c>
      <c r="F126">
        <f t="shared" si="97"/>
        <v>851000</v>
      </c>
      <c r="G126" s="13">
        <v>1.011507E-6</v>
      </c>
      <c r="H126" s="21">
        <f t="shared" si="67"/>
        <v>3949552499389.5249</v>
      </c>
      <c r="I126" s="21">
        <f t="shared" si="68"/>
        <v>841318942923.77612</v>
      </c>
    </row>
    <row r="127" spans="2:9" x14ac:dyDescent="0.25">
      <c r="B127" s="7">
        <v>29312</v>
      </c>
      <c r="C127" s="6">
        <v>3583</v>
      </c>
      <c r="D127" s="6">
        <v>5288</v>
      </c>
      <c r="E127">
        <f>+C127*1000</f>
        <v>3583000</v>
      </c>
      <c r="F127">
        <f t="shared" si="97"/>
        <v>5288000</v>
      </c>
      <c r="G127" s="13">
        <v>1.073977E-6</v>
      </c>
      <c r="H127" s="21">
        <f t="shared" si="67"/>
        <v>3336198075005.3306</v>
      </c>
      <c r="I127" s="21">
        <f t="shared" si="68"/>
        <v>4923755350440.4658</v>
      </c>
    </row>
    <row r="128" spans="2:9" x14ac:dyDescent="0.25">
      <c r="B128" s="7">
        <v>29342</v>
      </c>
      <c r="C128" s="6">
        <v>3551</v>
      </c>
      <c r="D128" s="6">
        <v>7229</v>
      </c>
      <c r="E128">
        <f>+C128*1000</f>
        <v>3551000</v>
      </c>
      <c r="F128">
        <f t="shared" si="97"/>
        <v>7229000</v>
      </c>
      <c r="G128" s="13">
        <v>1.1361030000000001E-6</v>
      </c>
      <c r="H128" s="21">
        <f t="shared" si="67"/>
        <v>3125596886901.9795</v>
      </c>
      <c r="I128" s="21">
        <f t="shared" si="68"/>
        <v>6362979412958.1553</v>
      </c>
    </row>
    <row r="129" spans="2:9" x14ac:dyDescent="0.25">
      <c r="B129" s="7">
        <v>29373</v>
      </c>
      <c r="C129" s="6">
        <v>4449</v>
      </c>
      <c r="D129" s="6">
        <v>7550</v>
      </c>
      <c r="E129">
        <f>+C129*1000</f>
        <v>4449000</v>
      </c>
      <c r="F129">
        <f t="shared" si="97"/>
        <v>7550000</v>
      </c>
      <c r="G129" s="13">
        <v>1.201289E-6</v>
      </c>
      <c r="H129" s="21">
        <f t="shared" si="67"/>
        <v>3703521800332.8091</v>
      </c>
      <c r="I129" s="21">
        <f t="shared" si="68"/>
        <v>6284915619805.0596</v>
      </c>
    </row>
    <row r="130" spans="2:9" x14ac:dyDescent="0.25">
      <c r="B130" s="7">
        <v>29403</v>
      </c>
      <c r="C130" s="6">
        <v>6466</v>
      </c>
      <c r="D130" s="6">
        <v>8460</v>
      </c>
      <c r="E130">
        <f>+C130*1000</f>
        <v>6466000</v>
      </c>
      <c r="F130">
        <f t="shared" si="97"/>
        <v>8460000</v>
      </c>
      <c r="G130" s="13">
        <v>1.2562350000000001E-6</v>
      </c>
      <c r="H130" s="21">
        <f t="shared" si="67"/>
        <v>5147126134839.4209</v>
      </c>
      <c r="I130" s="21">
        <f t="shared" si="68"/>
        <v>6734408769059.9287</v>
      </c>
    </row>
    <row r="131" spans="2:9" x14ac:dyDescent="0.25">
      <c r="B131" s="7">
        <v>29434</v>
      </c>
      <c r="C131" s="6">
        <v>4311</v>
      </c>
      <c r="D131" s="6">
        <v>7920</v>
      </c>
      <c r="E131">
        <f>+C131*1000</f>
        <v>4311000</v>
      </c>
      <c r="F131">
        <f t="shared" si="97"/>
        <v>7920000</v>
      </c>
      <c r="G131" s="13">
        <v>1.299224E-6</v>
      </c>
      <c r="H131" s="21">
        <f t="shared" si="67"/>
        <v>3318134517219.5093</v>
      </c>
      <c r="I131" s="21">
        <f t="shared" si="68"/>
        <v>6095946503451.291</v>
      </c>
    </row>
    <row r="132" spans="2:9" x14ac:dyDescent="0.25">
      <c r="B132" s="7">
        <v>29465</v>
      </c>
      <c r="C132" s="6">
        <v>7005</v>
      </c>
      <c r="D132" s="6">
        <v>7964</v>
      </c>
      <c r="E132">
        <f>+C132*1000</f>
        <v>7005000</v>
      </c>
      <c r="F132">
        <f t="shared" si="97"/>
        <v>7964000</v>
      </c>
      <c r="G132" s="13">
        <v>1.3582599999999999E-6</v>
      </c>
      <c r="H132" s="21">
        <f t="shared" si="67"/>
        <v>5157333647460.7217</v>
      </c>
      <c r="I132" s="21">
        <f t="shared" si="68"/>
        <v>5863384035457.1289</v>
      </c>
    </row>
    <row r="133" spans="2:9" x14ac:dyDescent="0.25">
      <c r="B133" s="7">
        <v>29495</v>
      </c>
      <c r="C133" s="6">
        <v>9018</v>
      </c>
      <c r="D133" s="6">
        <v>8147</v>
      </c>
      <c r="E133">
        <f>+C133*1000</f>
        <v>9018000</v>
      </c>
      <c r="F133">
        <f t="shared" si="97"/>
        <v>8147000</v>
      </c>
      <c r="G133" s="13">
        <v>1.4616900000000001E-6</v>
      </c>
      <c r="H133" s="21">
        <f t="shared" ref="H133:H196" si="98">+E133/G133</f>
        <v>6169570839234.0371</v>
      </c>
      <c r="I133" s="21">
        <f t="shared" ref="I133:I196" si="99">+F133/G133</f>
        <v>5573685254739.377</v>
      </c>
    </row>
    <row r="134" spans="2:9" x14ac:dyDescent="0.25">
      <c r="B134" s="7">
        <v>29526</v>
      </c>
      <c r="C134" s="6">
        <v>9659</v>
      </c>
      <c r="D134" s="6">
        <v>9436</v>
      </c>
      <c r="E134">
        <f>+C134*1000</f>
        <v>9659000</v>
      </c>
      <c r="F134">
        <f t="shared" si="97"/>
        <v>9436000</v>
      </c>
      <c r="G134" s="13">
        <v>1.5300599999999999E-6</v>
      </c>
      <c r="H134" s="21">
        <f t="shared" si="98"/>
        <v>6312824333686.2607</v>
      </c>
      <c r="I134" s="21">
        <f t="shared" si="99"/>
        <v>6167078415225.5469</v>
      </c>
    </row>
    <row r="135" spans="2:9" x14ac:dyDescent="0.25">
      <c r="B135" s="7">
        <v>29556</v>
      </c>
      <c r="C135" s="6">
        <v>12401</v>
      </c>
      <c r="D135" s="6">
        <v>11824</v>
      </c>
      <c r="E135">
        <f>+C135*1000</f>
        <v>12401000</v>
      </c>
      <c r="F135">
        <f t="shared" si="97"/>
        <v>11824000</v>
      </c>
      <c r="G135" s="13">
        <v>1.5884089999999999E-6</v>
      </c>
      <c r="H135" s="21">
        <f t="shared" si="98"/>
        <v>7807183162523.0029</v>
      </c>
      <c r="I135" s="21">
        <f t="shared" si="99"/>
        <v>7443926595731.9561</v>
      </c>
    </row>
    <row r="136" spans="2:9" x14ac:dyDescent="0.25">
      <c r="B136" s="7">
        <v>29587</v>
      </c>
      <c r="C136" s="6">
        <v>12050</v>
      </c>
      <c r="D136" s="6">
        <v>12849</v>
      </c>
      <c r="E136">
        <f>+C136*1000</f>
        <v>12050000</v>
      </c>
      <c r="F136">
        <f t="shared" si="97"/>
        <v>12849000</v>
      </c>
      <c r="G136" s="14">
        <v>1.6662E-6</v>
      </c>
      <c r="H136" s="21">
        <f t="shared" si="98"/>
        <v>7232024966990.7568</v>
      </c>
      <c r="I136" s="21">
        <f t="shared" si="99"/>
        <v>7711559236586.2441</v>
      </c>
    </row>
    <row r="137" spans="2:9" x14ac:dyDescent="0.25">
      <c r="B137" s="7">
        <v>29618</v>
      </c>
      <c r="C137" s="6">
        <v>16032</v>
      </c>
      <c r="D137" s="6">
        <v>14826</v>
      </c>
      <c r="E137">
        <f>+C137*1000</f>
        <v>16032000</v>
      </c>
      <c r="F137">
        <f t="shared" si="97"/>
        <v>14826000</v>
      </c>
      <c r="G137" s="14">
        <v>1.7358E-6</v>
      </c>
      <c r="H137" s="21">
        <f t="shared" si="98"/>
        <v>9236087106809.541</v>
      </c>
      <c r="I137" s="21">
        <f t="shared" si="99"/>
        <v>8541306602143.1045</v>
      </c>
    </row>
    <row r="138" spans="2:9" x14ac:dyDescent="0.25">
      <c r="B138" s="7">
        <v>29646</v>
      </c>
      <c r="C138" s="6">
        <v>14169</v>
      </c>
      <c r="D138" s="6">
        <v>15479</v>
      </c>
      <c r="E138">
        <f>+C138*1000</f>
        <v>14169000</v>
      </c>
      <c r="F138">
        <f t="shared" si="97"/>
        <v>15479000</v>
      </c>
      <c r="G138" s="14">
        <v>1.8397999999999999E-6</v>
      </c>
      <c r="H138" s="21">
        <f t="shared" si="98"/>
        <v>7701380584846.1787</v>
      </c>
      <c r="I138" s="21">
        <f t="shared" si="99"/>
        <v>8413414501576.2588</v>
      </c>
    </row>
    <row r="139" spans="2:9" x14ac:dyDescent="0.25">
      <c r="B139" s="7">
        <v>29677</v>
      </c>
      <c r="C139" s="6">
        <v>14331</v>
      </c>
      <c r="D139" s="6">
        <v>14919</v>
      </c>
      <c r="E139">
        <f>+C139*1000</f>
        <v>14331000</v>
      </c>
      <c r="F139">
        <f t="shared" si="97"/>
        <v>14919000</v>
      </c>
      <c r="G139" s="14">
        <v>1.9848999999999998E-6</v>
      </c>
      <c r="H139" s="21">
        <f t="shared" si="98"/>
        <v>7220011083681.7979</v>
      </c>
      <c r="I139" s="21">
        <f t="shared" si="99"/>
        <v>7516247669907.8047</v>
      </c>
    </row>
    <row r="140" spans="2:9" x14ac:dyDescent="0.25">
      <c r="B140" s="7">
        <v>29707</v>
      </c>
      <c r="C140" s="6">
        <v>18183</v>
      </c>
      <c r="D140" s="6">
        <v>19592</v>
      </c>
      <c r="E140">
        <f>+C140*1000</f>
        <v>18183000</v>
      </c>
      <c r="F140">
        <f t="shared" si="97"/>
        <v>19592000</v>
      </c>
      <c r="G140" s="14">
        <v>2.1345000000000001E-6</v>
      </c>
      <c r="H140" s="21">
        <f t="shared" si="98"/>
        <v>8518622628250.1758</v>
      </c>
      <c r="I140" s="21">
        <f t="shared" si="99"/>
        <v>9178730381822.4414</v>
      </c>
    </row>
    <row r="141" spans="2:9" x14ac:dyDescent="0.25">
      <c r="B141" s="7">
        <v>29738</v>
      </c>
      <c r="C141" s="6">
        <v>18546</v>
      </c>
      <c r="D141" s="6">
        <v>20934</v>
      </c>
      <c r="E141">
        <f>+C141*1000</f>
        <v>18546000</v>
      </c>
      <c r="F141">
        <f t="shared" si="97"/>
        <v>20934000</v>
      </c>
      <c r="G141" s="14">
        <v>2.3346000000000001E-6</v>
      </c>
      <c r="H141" s="21">
        <f t="shared" si="98"/>
        <v>7943973271652.5313</v>
      </c>
      <c r="I141" s="21">
        <f t="shared" si="99"/>
        <v>8966846569005.3965</v>
      </c>
    </row>
    <row r="142" spans="2:9" x14ac:dyDescent="0.25">
      <c r="B142" s="7">
        <v>29768</v>
      </c>
      <c r="C142" s="6">
        <v>19814</v>
      </c>
      <c r="D142" s="6">
        <v>24433</v>
      </c>
      <c r="E142">
        <f>+C142*1000</f>
        <v>19814000</v>
      </c>
      <c r="F142">
        <f t="shared" si="97"/>
        <v>24433000</v>
      </c>
      <c r="G142" s="14">
        <v>2.5737E-6</v>
      </c>
      <c r="H142" s="21">
        <f t="shared" si="98"/>
        <v>7698643975599.332</v>
      </c>
      <c r="I142" s="21">
        <f t="shared" si="99"/>
        <v>9493336441698.7207</v>
      </c>
    </row>
    <row r="143" spans="2:9" x14ac:dyDescent="0.25">
      <c r="B143" s="7">
        <v>29799</v>
      </c>
      <c r="C143" s="6">
        <v>23054</v>
      </c>
      <c r="D143" s="6">
        <v>25146</v>
      </c>
      <c r="E143">
        <f>+C143*1000</f>
        <v>23054000</v>
      </c>
      <c r="F143">
        <f t="shared" si="97"/>
        <v>25146000</v>
      </c>
      <c r="G143" s="14">
        <v>2.7775999999999999E-6</v>
      </c>
      <c r="H143" s="21">
        <f t="shared" si="98"/>
        <v>8299971198156.6826</v>
      </c>
      <c r="I143" s="21">
        <f t="shared" si="99"/>
        <v>9053139400921.6602</v>
      </c>
    </row>
    <row r="144" spans="2:9" x14ac:dyDescent="0.25">
      <c r="B144" s="7">
        <v>29830</v>
      </c>
      <c r="C144" s="6">
        <v>22413</v>
      </c>
      <c r="D144" s="6">
        <v>25842</v>
      </c>
      <c r="E144">
        <f>+C144*1000</f>
        <v>22413000</v>
      </c>
      <c r="F144">
        <f t="shared" si="97"/>
        <v>25842000</v>
      </c>
      <c r="G144" s="14">
        <v>2.9761000000000002E-6</v>
      </c>
      <c r="H144" s="21">
        <f t="shared" si="98"/>
        <v>7530996942307.0459</v>
      </c>
      <c r="I144" s="21">
        <f t="shared" si="99"/>
        <v>8683175968549.4434</v>
      </c>
    </row>
    <row r="145" spans="2:9" x14ac:dyDescent="0.25">
      <c r="B145" s="7">
        <v>29860</v>
      </c>
      <c r="C145" s="6">
        <v>30525</v>
      </c>
      <c r="D145" s="6">
        <v>29901</v>
      </c>
      <c r="E145">
        <f>+C145*1000</f>
        <v>30525000</v>
      </c>
      <c r="F145">
        <f t="shared" si="97"/>
        <v>29901000</v>
      </c>
      <c r="G145" s="14">
        <v>3.1493999999999999E-6</v>
      </c>
      <c r="H145" s="21">
        <f t="shared" si="98"/>
        <v>9692322347113.7363</v>
      </c>
      <c r="I145" s="21">
        <f t="shared" si="99"/>
        <v>9494189369403.6973</v>
      </c>
    </row>
    <row r="146" spans="2:9" x14ac:dyDescent="0.25">
      <c r="B146" s="7">
        <v>29891</v>
      </c>
      <c r="C146" s="6">
        <v>32599</v>
      </c>
      <c r="D146" s="6">
        <v>41356</v>
      </c>
      <c r="E146">
        <f>+C146*1000</f>
        <v>32599000</v>
      </c>
      <c r="F146">
        <f t="shared" si="97"/>
        <v>41356000</v>
      </c>
      <c r="G146" s="14">
        <v>3.3764E-6</v>
      </c>
      <c r="H146" s="21">
        <f t="shared" si="98"/>
        <v>9654957943371.6387</v>
      </c>
      <c r="I146" s="21">
        <f t="shared" si="99"/>
        <v>12248548750148.086</v>
      </c>
    </row>
    <row r="147" spans="2:9" x14ac:dyDescent="0.25">
      <c r="B147" s="7">
        <v>29921</v>
      </c>
      <c r="C147" s="6">
        <v>48267</v>
      </c>
      <c r="D147" s="6">
        <v>41888</v>
      </c>
      <c r="E147">
        <f>+C147*1000</f>
        <v>48267000</v>
      </c>
      <c r="F147">
        <f t="shared" si="97"/>
        <v>41888000</v>
      </c>
      <c r="G147" s="14">
        <v>3.6735999999999999E-6</v>
      </c>
      <c r="H147" s="21">
        <f t="shared" si="98"/>
        <v>13138882839721.254</v>
      </c>
      <c r="I147" s="21">
        <f t="shared" si="99"/>
        <v>11402439024390.244</v>
      </c>
    </row>
    <row r="148" spans="2:9" x14ac:dyDescent="0.25">
      <c r="B148" s="7">
        <v>29952</v>
      </c>
      <c r="C148" s="6">
        <v>48105</v>
      </c>
      <c r="D148" s="6">
        <v>46782</v>
      </c>
      <c r="E148">
        <f>+C148*1000</f>
        <v>48105000</v>
      </c>
      <c r="F148">
        <f t="shared" si="97"/>
        <v>46782000</v>
      </c>
      <c r="G148" s="14">
        <v>4.1115999999999997E-6</v>
      </c>
      <c r="H148" s="21">
        <f t="shared" si="98"/>
        <v>11699824885689.27</v>
      </c>
      <c r="I148" s="21">
        <f t="shared" si="99"/>
        <v>11378052339721.764</v>
      </c>
    </row>
    <row r="149" spans="2:9" x14ac:dyDescent="0.25">
      <c r="B149" s="7">
        <v>29983</v>
      </c>
      <c r="C149" s="6">
        <v>52533</v>
      </c>
      <c r="D149" s="6">
        <v>53313</v>
      </c>
      <c r="E149">
        <f>+C149*1000</f>
        <v>52533000</v>
      </c>
      <c r="F149">
        <f t="shared" si="97"/>
        <v>53313000</v>
      </c>
      <c r="G149" s="14">
        <v>4.3289000000000002E-6</v>
      </c>
      <c r="H149" s="21">
        <f t="shared" si="98"/>
        <v>12135415463512.67</v>
      </c>
      <c r="I149" s="21">
        <f t="shared" si="99"/>
        <v>12315599805955.322</v>
      </c>
    </row>
    <row r="150" spans="2:9" x14ac:dyDescent="0.25">
      <c r="B150" s="7">
        <v>30011</v>
      </c>
      <c r="C150" s="6">
        <v>57519</v>
      </c>
      <c r="D150" s="6">
        <v>61794</v>
      </c>
      <c r="E150">
        <f>+C150*1000</f>
        <v>57519000</v>
      </c>
      <c r="F150">
        <f t="shared" si="97"/>
        <v>61794000</v>
      </c>
      <c r="G150" s="14">
        <v>4.5329999999999996E-6</v>
      </c>
      <c r="H150" s="21">
        <f t="shared" si="98"/>
        <v>12688947716743.879</v>
      </c>
      <c r="I150" s="21">
        <f t="shared" si="99"/>
        <v>13632031767041.695</v>
      </c>
    </row>
    <row r="151" spans="2:9" x14ac:dyDescent="0.25">
      <c r="B151" s="7">
        <v>30042</v>
      </c>
      <c r="C151" s="6">
        <v>70026</v>
      </c>
      <c r="D151" s="6">
        <v>72898</v>
      </c>
      <c r="E151">
        <f>+C151*1000</f>
        <v>70026000</v>
      </c>
      <c r="F151">
        <f t="shared" si="97"/>
        <v>72898000</v>
      </c>
      <c r="G151" s="14">
        <v>4.7229000000000001E-6</v>
      </c>
      <c r="H151" s="21">
        <f t="shared" si="98"/>
        <v>14826907196849.393</v>
      </c>
      <c r="I151" s="21">
        <f t="shared" si="99"/>
        <v>15435008151771.156</v>
      </c>
    </row>
    <row r="152" spans="2:9" x14ac:dyDescent="0.25">
      <c r="B152" s="7">
        <v>30072</v>
      </c>
      <c r="C152" s="6">
        <v>70722</v>
      </c>
      <c r="D152" s="6">
        <v>74683</v>
      </c>
      <c r="E152">
        <f>+C152*1000</f>
        <v>70722000</v>
      </c>
      <c r="F152">
        <f t="shared" si="97"/>
        <v>74683000</v>
      </c>
      <c r="G152" s="14">
        <v>4.8674000000000002E-6</v>
      </c>
      <c r="H152" s="21">
        <f t="shared" si="98"/>
        <v>14529728397090.85</v>
      </c>
      <c r="I152" s="21">
        <f t="shared" si="99"/>
        <v>15343509882072.564</v>
      </c>
    </row>
    <row r="153" spans="2:9" x14ac:dyDescent="0.25">
      <c r="B153" s="7">
        <v>30103</v>
      </c>
      <c r="C153" s="6">
        <v>71343</v>
      </c>
      <c r="D153" s="6">
        <v>85985</v>
      </c>
      <c r="E153">
        <f>+C153*1000</f>
        <v>71343000</v>
      </c>
      <c r="F153">
        <f t="shared" si="97"/>
        <v>85985000</v>
      </c>
      <c r="G153" s="14">
        <v>5.2517E-6</v>
      </c>
      <c r="H153" s="21">
        <f t="shared" si="98"/>
        <v>13584743987661.139</v>
      </c>
      <c r="I153" s="21">
        <f t="shared" si="99"/>
        <v>16372793571605.385</v>
      </c>
    </row>
    <row r="154" spans="2:9" x14ac:dyDescent="0.25">
      <c r="B154" s="7">
        <v>30133</v>
      </c>
      <c r="C154" s="6">
        <v>87090</v>
      </c>
      <c r="D154" s="6">
        <v>342453</v>
      </c>
      <c r="E154">
        <f>+C154*1000</f>
        <v>87090000</v>
      </c>
      <c r="F154">
        <f t="shared" si="97"/>
        <v>342453000</v>
      </c>
      <c r="G154" s="14">
        <v>6.1055999999999996E-6</v>
      </c>
      <c r="H154" s="21">
        <f t="shared" si="98"/>
        <v>14263954402515.725</v>
      </c>
      <c r="I154" s="21">
        <f t="shared" si="99"/>
        <v>56088345125786.164</v>
      </c>
    </row>
    <row r="155" spans="2:9" x14ac:dyDescent="0.25">
      <c r="B155" s="7">
        <v>30164</v>
      </c>
      <c r="C155" s="6">
        <v>88651</v>
      </c>
      <c r="D155" s="6">
        <v>371290</v>
      </c>
      <c r="E155">
        <f>+C155*1000</f>
        <v>88651000</v>
      </c>
      <c r="F155">
        <f t="shared" si="97"/>
        <v>371290000</v>
      </c>
      <c r="G155" s="14">
        <v>7.0025000000000003E-6</v>
      </c>
      <c r="H155" s="21">
        <f t="shared" si="98"/>
        <v>12659907176008.568</v>
      </c>
      <c r="I155" s="21">
        <f t="shared" si="99"/>
        <v>53022491967154.586</v>
      </c>
    </row>
    <row r="156" spans="2:9" x14ac:dyDescent="0.25">
      <c r="B156" s="7">
        <v>30195</v>
      </c>
      <c r="C156" s="6">
        <v>90927</v>
      </c>
      <c r="D156" s="6">
        <v>386063</v>
      </c>
      <c r="E156">
        <f>+C156*1000</f>
        <v>90927000</v>
      </c>
      <c r="F156">
        <f t="shared" si="97"/>
        <v>386063000</v>
      </c>
      <c r="G156" s="14">
        <v>8.1975999999999992E-6</v>
      </c>
      <c r="H156" s="21">
        <f t="shared" si="98"/>
        <v>11091904947789.598</v>
      </c>
      <c r="I156" s="21">
        <f t="shared" si="99"/>
        <v>47094637454864.844</v>
      </c>
    </row>
    <row r="157" spans="2:9" x14ac:dyDescent="0.25">
      <c r="B157" s="7">
        <v>30225</v>
      </c>
      <c r="C157" s="6">
        <v>112661</v>
      </c>
      <c r="D157" s="6">
        <v>404355</v>
      </c>
      <c r="E157">
        <f>+C157*1000</f>
        <v>112661000</v>
      </c>
      <c r="F157">
        <f t="shared" si="97"/>
        <v>404355000</v>
      </c>
      <c r="G157" s="14">
        <v>9.2377999999999999E-6</v>
      </c>
      <c r="H157" s="21">
        <f t="shared" si="98"/>
        <v>12195652644569.053</v>
      </c>
      <c r="I157" s="21">
        <f t="shared" si="99"/>
        <v>43771785490051.742</v>
      </c>
    </row>
    <row r="158" spans="2:9" x14ac:dyDescent="0.25">
      <c r="B158" s="7">
        <v>30256</v>
      </c>
      <c r="C158" s="6">
        <v>119742</v>
      </c>
      <c r="D158" s="6">
        <v>472720</v>
      </c>
      <c r="E158">
        <f>+C158*1000</f>
        <v>119742000</v>
      </c>
      <c r="F158">
        <f t="shared" si="97"/>
        <v>472720000</v>
      </c>
      <c r="G158" s="14">
        <v>1.0285800000000001E-5</v>
      </c>
      <c r="H158" s="21">
        <f t="shared" si="98"/>
        <v>11641486320947.324</v>
      </c>
      <c r="I158" s="21">
        <f t="shared" si="99"/>
        <v>45958505901339.711</v>
      </c>
    </row>
    <row r="159" spans="2:9" x14ac:dyDescent="0.25">
      <c r="B159" s="7">
        <v>30286</v>
      </c>
      <c r="C159" s="6">
        <v>143490</v>
      </c>
      <c r="D159" s="6">
        <v>478399</v>
      </c>
      <c r="E159">
        <f>+C159*1000</f>
        <v>143490000</v>
      </c>
      <c r="F159">
        <f t="shared" si="97"/>
        <v>478399000</v>
      </c>
      <c r="G159" s="14">
        <v>1.1378200000000001E-5</v>
      </c>
      <c r="H159" s="21">
        <f t="shared" si="98"/>
        <v>12610957796488.02</v>
      </c>
      <c r="I159" s="21">
        <f t="shared" si="99"/>
        <v>42045226837285.336</v>
      </c>
    </row>
    <row r="160" spans="2:9" x14ac:dyDescent="0.25">
      <c r="B160" s="7">
        <v>30317</v>
      </c>
      <c r="C160" s="6">
        <v>21466</v>
      </c>
      <c r="D160" s="6">
        <v>50507</v>
      </c>
      <c r="E160">
        <f>+C160*1000</f>
        <v>21466000</v>
      </c>
      <c r="F160">
        <f>+D160*1000</f>
        <v>50507000</v>
      </c>
      <c r="G160" s="15">
        <v>1.31964E-5</v>
      </c>
      <c r="H160" s="21">
        <f t="shared" si="98"/>
        <v>1626655754599.7393</v>
      </c>
      <c r="I160" s="21">
        <f t="shared" si="99"/>
        <v>3827331696523.2944</v>
      </c>
    </row>
    <row r="161" spans="2:9" x14ac:dyDescent="0.25">
      <c r="B161" s="7">
        <v>30348</v>
      </c>
      <c r="C161" s="6">
        <v>23210</v>
      </c>
      <c r="D161" s="6">
        <v>51352</v>
      </c>
      <c r="E161">
        <f t="shared" ref="E161:E224" si="100">+C161*1000</f>
        <v>23210000</v>
      </c>
      <c r="F161">
        <f t="shared" ref="F161:F224" si="101">+D161*1000</f>
        <v>51352000</v>
      </c>
      <c r="G161" s="15">
        <v>1.49166E-5</v>
      </c>
      <c r="H161" s="21">
        <f t="shared" si="98"/>
        <v>1555984607752.4368</v>
      </c>
      <c r="I161" s="21">
        <f t="shared" si="99"/>
        <v>3442607564726.5464</v>
      </c>
    </row>
    <row r="162" spans="2:9" x14ac:dyDescent="0.25">
      <c r="B162" s="7">
        <v>30376</v>
      </c>
      <c r="C162" s="6">
        <v>28435</v>
      </c>
      <c r="D162" s="6">
        <v>51895</v>
      </c>
      <c r="E162">
        <f t="shared" si="100"/>
        <v>28435000</v>
      </c>
      <c r="F162">
        <f t="shared" si="101"/>
        <v>51895000</v>
      </c>
      <c r="G162" s="15">
        <v>1.6596199999999999E-5</v>
      </c>
      <c r="H162" s="21">
        <f t="shared" si="98"/>
        <v>1713344018510.2615</v>
      </c>
      <c r="I162" s="21">
        <f t="shared" si="99"/>
        <v>3126920620382.9795</v>
      </c>
    </row>
    <row r="163" spans="2:9" x14ac:dyDescent="0.25">
      <c r="B163" s="7">
        <v>30407</v>
      </c>
      <c r="C163" s="6">
        <v>34849</v>
      </c>
      <c r="D163" s="6">
        <v>55414</v>
      </c>
      <c r="E163">
        <f t="shared" si="100"/>
        <v>34849000</v>
      </c>
      <c r="F163">
        <f t="shared" si="101"/>
        <v>55414000</v>
      </c>
      <c r="G163" s="15">
        <v>1.8300799999999999E-5</v>
      </c>
      <c r="H163" s="21">
        <f t="shared" si="98"/>
        <v>1904233694701.8711</v>
      </c>
      <c r="I163" s="21">
        <f t="shared" si="99"/>
        <v>3027955062073.7891</v>
      </c>
    </row>
    <row r="164" spans="2:9" x14ac:dyDescent="0.25">
      <c r="B164" s="7">
        <v>30437</v>
      </c>
      <c r="C164" s="6">
        <v>40995</v>
      </c>
      <c r="D164" s="6">
        <v>57739</v>
      </c>
      <c r="E164">
        <f t="shared" si="100"/>
        <v>40995000</v>
      </c>
      <c r="F164">
        <f t="shared" si="101"/>
        <v>57739000</v>
      </c>
      <c r="G164" s="15">
        <v>1.9958499999999999E-5</v>
      </c>
      <c r="H164" s="21">
        <f t="shared" si="98"/>
        <v>2054012075055.7407</v>
      </c>
      <c r="I164" s="21">
        <f t="shared" si="99"/>
        <v>2892952877220.2319</v>
      </c>
    </row>
    <row r="165" spans="2:9" x14ac:dyDescent="0.25">
      <c r="B165" s="7">
        <v>30468</v>
      </c>
      <c r="C165" s="6">
        <v>49595</v>
      </c>
      <c r="D165" s="6">
        <v>61081</v>
      </c>
      <c r="E165">
        <f t="shared" si="100"/>
        <v>49595000</v>
      </c>
      <c r="F165">
        <f t="shared" si="101"/>
        <v>61081000</v>
      </c>
      <c r="G165" s="15">
        <v>2.3117900000000001E-5</v>
      </c>
      <c r="H165" s="21">
        <f t="shared" si="98"/>
        <v>2145307315975.9319</v>
      </c>
      <c r="I165" s="21">
        <f t="shared" si="99"/>
        <v>2642151752538.0767</v>
      </c>
    </row>
    <row r="166" spans="2:9" x14ac:dyDescent="0.25">
      <c r="B166" s="7">
        <v>30498</v>
      </c>
      <c r="C166" s="6">
        <v>57576</v>
      </c>
      <c r="D166" s="6">
        <v>66243</v>
      </c>
      <c r="E166">
        <f t="shared" si="100"/>
        <v>57576000</v>
      </c>
      <c r="F166">
        <f t="shared" si="101"/>
        <v>66243000</v>
      </c>
      <c r="G166" s="15">
        <v>2.59963E-5</v>
      </c>
      <c r="H166" s="21">
        <f t="shared" si="98"/>
        <v>2214776718225.2856</v>
      </c>
      <c r="I166" s="21">
        <f t="shared" si="99"/>
        <v>2548170316545.0469</v>
      </c>
    </row>
    <row r="167" spans="2:9" x14ac:dyDescent="0.25">
      <c r="B167" s="7">
        <v>30529</v>
      </c>
      <c r="C167" s="6">
        <v>70254</v>
      </c>
      <c r="D167" s="6">
        <v>67379</v>
      </c>
      <c r="E167">
        <f t="shared" si="100"/>
        <v>70254000</v>
      </c>
      <c r="F167">
        <f t="shared" si="101"/>
        <v>67379000</v>
      </c>
      <c r="G167" s="15">
        <v>3.0479400000000002E-5</v>
      </c>
      <c r="H167" s="21">
        <f t="shared" si="98"/>
        <v>2304966633201.4409</v>
      </c>
      <c r="I167" s="21">
        <f t="shared" si="99"/>
        <v>2210640629408.7153</v>
      </c>
    </row>
    <row r="168" spans="2:9" x14ac:dyDescent="0.25">
      <c r="B168" s="7">
        <v>30560</v>
      </c>
      <c r="C168" s="6">
        <v>87757</v>
      </c>
      <c r="D168" s="6">
        <v>81763</v>
      </c>
      <c r="E168">
        <f t="shared" si="100"/>
        <v>87757000</v>
      </c>
      <c r="F168">
        <f t="shared" si="101"/>
        <v>81763000</v>
      </c>
      <c r="G168" s="15">
        <v>3.69918E-5</v>
      </c>
      <c r="H168" s="21">
        <f t="shared" si="98"/>
        <v>2372336571888.9053</v>
      </c>
      <c r="I168" s="21">
        <f t="shared" si="99"/>
        <v>2210300661227.6235</v>
      </c>
    </row>
    <row r="169" spans="2:9" x14ac:dyDescent="0.25">
      <c r="B169" s="7">
        <v>30590</v>
      </c>
      <c r="C169" s="6">
        <v>100132</v>
      </c>
      <c r="D169" s="6">
        <v>87965</v>
      </c>
      <c r="E169">
        <f t="shared" si="100"/>
        <v>100132000</v>
      </c>
      <c r="F169">
        <f t="shared" si="101"/>
        <v>87965000</v>
      </c>
      <c r="G169" s="15">
        <v>4.3269999999999997E-5</v>
      </c>
      <c r="H169" s="21">
        <f t="shared" si="98"/>
        <v>2314120637855.3271</v>
      </c>
      <c r="I169" s="21">
        <f t="shared" si="99"/>
        <v>2032932747862.2603</v>
      </c>
    </row>
    <row r="170" spans="2:9" x14ac:dyDescent="0.25">
      <c r="B170" s="7">
        <v>30621</v>
      </c>
      <c r="C170" s="6">
        <v>122991</v>
      </c>
      <c r="D170" s="6">
        <v>91100</v>
      </c>
      <c r="E170">
        <f t="shared" si="100"/>
        <v>122991000</v>
      </c>
      <c r="F170">
        <f t="shared" si="101"/>
        <v>91100000</v>
      </c>
      <c r="G170" s="15">
        <v>5.1593099999999999E-5</v>
      </c>
      <c r="H170" s="21">
        <f t="shared" si="98"/>
        <v>2383865284311.2744</v>
      </c>
      <c r="I170" s="21">
        <f t="shared" si="99"/>
        <v>1765739992363.3198</v>
      </c>
    </row>
    <row r="171" spans="2:9" x14ac:dyDescent="0.25">
      <c r="B171" s="7">
        <v>30651</v>
      </c>
      <c r="C171" s="6">
        <v>166644</v>
      </c>
      <c r="D171" s="6">
        <v>139392</v>
      </c>
      <c r="E171">
        <f t="shared" si="100"/>
        <v>166644000</v>
      </c>
      <c r="F171">
        <f t="shared" si="101"/>
        <v>139392000</v>
      </c>
      <c r="G171" s="15">
        <v>6.0724699999999998E-5</v>
      </c>
      <c r="H171" s="21">
        <f t="shared" si="98"/>
        <v>2744253985610.4683</v>
      </c>
      <c r="I171" s="21">
        <f t="shared" si="99"/>
        <v>2295474493904.4575</v>
      </c>
    </row>
    <row r="172" spans="2:9" x14ac:dyDescent="0.25">
      <c r="B172" s="7">
        <v>30682</v>
      </c>
      <c r="C172" s="6">
        <v>225477</v>
      </c>
      <c r="D172" s="6">
        <v>135901</v>
      </c>
      <c r="E172">
        <f t="shared" si="100"/>
        <v>225477000</v>
      </c>
      <c r="F172">
        <f t="shared" si="101"/>
        <v>135901000</v>
      </c>
      <c r="G172" s="16">
        <v>6.8338999999999997E-5</v>
      </c>
      <c r="H172" s="21">
        <f t="shared" si="98"/>
        <v>3299389806698.957</v>
      </c>
      <c r="I172" s="21">
        <f t="shared" si="99"/>
        <v>1988630211153.2214</v>
      </c>
    </row>
    <row r="173" spans="2:9" x14ac:dyDescent="0.25">
      <c r="B173" s="7">
        <v>30713</v>
      </c>
      <c r="C173" s="6">
        <v>214343</v>
      </c>
      <c r="D173" s="6">
        <v>144233</v>
      </c>
      <c r="E173">
        <f t="shared" si="100"/>
        <v>214343000</v>
      </c>
      <c r="F173">
        <f t="shared" si="101"/>
        <v>144233000</v>
      </c>
      <c r="G173" s="16">
        <v>7.9921999999999998E-5</v>
      </c>
      <c r="H173" s="21">
        <f t="shared" si="98"/>
        <v>2681902354795.9263</v>
      </c>
      <c r="I173" s="21">
        <f t="shared" si="99"/>
        <v>1804672055253.8726</v>
      </c>
    </row>
    <row r="174" spans="2:9" x14ac:dyDescent="0.25">
      <c r="B174" s="7">
        <v>30742</v>
      </c>
      <c r="C174" s="6">
        <v>247480</v>
      </c>
      <c r="D174" s="6">
        <v>152418</v>
      </c>
      <c r="E174">
        <f t="shared" si="100"/>
        <v>247480000</v>
      </c>
      <c r="F174">
        <f t="shared" si="101"/>
        <v>152418000</v>
      </c>
      <c r="G174" s="16">
        <v>9.6124000000000003E-5</v>
      </c>
      <c r="H174" s="21">
        <f t="shared" si="98"/>
        <v>2574591153093.9204</v>
      </c>
      <c r="I174" s="21">
        <f t="shared" si="99"/>
        <v>1585639382464.3169</v>
      </c>
    </row>
    <row r="175" spans="2:9" x14ac:dyDescent="0.25">
      <c r="B175" s="7">
        <v>30773</v>
      </c>
      <c r="C175" s="6">
        <v>281136</v>
      </c>
      <c r="D175" s="6">
        <v>159555</v>
      </c>
      <c r="E175">
        <f t="shared" si="100"/>
        <v>281136000</v>
      </c>
      <c r="F175">
        <f t="shared" si="101"/>
        <v>159555000</v>
      </c>
      <c r="G175" s="16">
        <v>1.13919E-4</v>
      </c>
      <c r="H175" s="21">
        <f t="shared" si="98"/>
        <v>2467858741737.5503</v>
      </c>
      <c r="I175" s="21">
        <f t="shared" si="99"/>
        <v>1400600426618.9133</v>
      </c>
    </row>
    <row r="176" spans="2:9" x14ac:dyDescent="0.25">
      <c r="B176" s="7">
        <v>30803</v>
      </c>
      <c r="C176" s="6">
        <v>315226</v>
      </c>
      <c r="D176" s="6">
        <v>183076</v>
      </c>
      <c r="E176">
        <f t="shared" si="100"/>
        <v>315226000</v>
      </c>
      <c r="F176">
        <f t="shared" si="101"/>
        <v>183076000</v>
      </c>
      <c r="G176" s="16">
        <v>1.3336899999999999E-4</v>
      </c>
      <c r="H176" s="21">
        <f t="shared" si="98"/>
        <v>2363562746965.187</v>
      </c>
      <c r="I176" s="21">
        <f t="shared" si="99"/>
        <v>1372702802000.4651</v>
      </c>
    </row>
    <row r="177" spans="2:9" x14ac:dyDescent="0.25">
      <c r="B177" s="7">
        <v>30834</v>
      </c>
      <c r="C177" s="6">
        <v>361293</v>
      </c>
      <c r="D177" s="6">
        <v>213727</v>
      </c>
      <c r="E177">
        <f t="shared" si="100"/>
        <v>361293000</v>
      </c>
      <c r="F177">
        <f t="shared" si="101"/>
        <v>213727000</v>
      </c>
      <c r="G177" s="16">
        <v>1.57252E-4</v>
      </c>
      <c r="H177" s="21">
        <f t="shared" si="98"/>
        <v>2297541525703.9653</v>
      </c>
      <c r="I177" s="21">
        <f t="shared" si="99"/>
        <v>1359136926716.3533</v>
      </c>
    </row>
    <row r="178" spans="2:9" x14ac:dyDescent="0.25">
      <c r="B178" s="7">
        <v>30864</v>
      </c>
      <c r="C178" s="6">
        <v>421673</v>
      </c>
      <c r="D178" s="6">
        <v>253919</v>
      </c>
      <c r="E178">
        <f t="shared" si="100"/>
        <v>421673000</v>
      </c>
      <c r="F178">
        <f t="shared" si="101"/>
        <v>253919000</v>
      </c>
      <c r="G178" s="16">
        <v>1.8600499999999999E-4</v>
      </c>
      <c r="H178" s="21">
        <f t="shared" si="98"/>
        <v>2266998198973.146</v>
      </c>
      <c r="I178" s="21">
        <f t="shared" si="99"/>
        <v>1365119217225.3435</v>
      </c>
    </row>
    <row r="179" spans="2:9" x14ac:dyDescent="0.25">
      <c r="B179" s="7">
        <v>30895</v>
      </c>
      <c r="C179" s="6">
        <v>477676</v>
      </c>
      <c r="D179" s="6">
        <v>274686</v>
      </c>
      <c r="E179">
        <f t="shared" si="100"/>
        <v>477676000</v>
      </c>
      <c r="F179">
        <f t="shared" si="101"/>
        <v>274686000</v>
      </c>
      <c r="G179" s="16">
        <v>2.2849400000000001E-4</v>
      </c>
      <c r="H179" s="21">
        <f t="shared" si="98"/>
        <v>2090540670652.1833</v>
      </c>
      <c r="I179" s="21">
        <f t="shared" si="99"/>
        <v>1202158481185.5015</v>
      </c>
    </row>
    <row r="180" spans="2:9" x14ac:dyDescent="0.25">
      <c r="B180" s="7">
        <v>30926</v>
      </c>
      <c r="C180" s="6">
        <v>537826</v>
      </c>
      <c r="D180" s="6">
        <v>310238</v>
      </c>
      <c r="E180">
        <f t="shared" si="100"/>
        <v>537826000</v>
      </c>
      <c r="F180">
        <f t="shared" si="101"/>
        <v>310238000</v>
      </c>
      <c r="G180" s="16">
        <v>2.9143300000000001E-4</v>
      </c>
      <c r="H180" s="21">
        <f t="shared" si="98"/>
        <v>1845453328895.4922</v>
      </c>
      <c r="I180" s="21">
        <f t="shared" si="99"/>
        <v>1064525980242.457</v>
      </c>
    </row>
    <row r="181" spans="2:9" x14ac:dyDescent="0.25">
      <c r="B181" s="7">
        <v>30956</v>
      </c>
      <c r="C181" s="6">
        <v>602758</v>
      </c>
      <c r="D181" s="6">
        <v>711775</v>
      </c>
      <c r="E181">
        <f t="shared" si="100"/>
        <v>602758000</v>
      </c>
      <c r="F181">
        <f t="shared" si="101"/>
        <v>711775000</v>
      </c>
      <c r="G181" s="16">
        <v>3.47752E-4</v>
      </c>
      <c r="H181" s="21">
        <f t="shared" si="98"/>
        <v>1733298442568.2671</v>
      </c>
      <c r="I181" s="21">
        <f t="shared" si="99"/>
        <v>2046789091076.3992</v>
      </c>
    </row>
    <row r="182" spans="2:9" x14ac:dyDescent="0.25">
      <c r="B182" s="7">
        <v>30987</v>
      </c>
      <c r="C182" s="6">
        <v>712875</v>
      </c>
      <c r="D182" s="6">
        <v>747874</v>
      </c>
      <c r="E182">
        <f t="shared" si="100"/>
        <v>712875000</v>
      </c>
      <c r="F182">
        <f t="shared" si="101"/>
        <v>747874000</v>
      </c>
      <c r="G182" s="16">
        <v>3.9982599999999999E-4</v>
      </c>
      <c r="H182" s="21">
        <f t="shared" si="98"/>
        <v>1782963088943.6904</v>
      </c>
      <c r="I182" s="21">
        <f t="shared" si="99"/>
        <v>1870498666920.1104</v>
      </c>
    </row>
    <row r="183" spans="2:9" x14ac:dyDescent="0.25">
      <c r="B183" s="7">
        <v>31017</v>
      </c>
      <c r="C183" s="6">
        <v>841993</v>
      </c>
      <c r="D183" s="6">
        <v>950300</v>
      </c>
      <c r="E183">
        <f t="shared" si="100"/>
        <v>841993000</v>
      </c>
      <c r="F183">
        <f t="shared" si="101"/>
        <v>950300000</v>
      </c>
      <c r="G183" s="16">
        <v>4.7849900000000001E-4</v>
      </c>
      <c r="H183" s="21">
        <f t="shared" si="98"/>
        <v>1759654670124.7024</v>
      </c>
      <c r="I183" s="21">
        <f t="shared" si="99"/>
        <v>1986002060610.3669</v>
      </c>
    </row>
    <row r="184" spans="2:9" x14ac:dyDescent="0.25">
      <c r="B184" s="7">
        <v>31048</v>
      </c>
      <c r="C184" s="6">
        <v>1009722</v>
      </c>
      <c r="D184" s="6">
        <v>1060996</v>
      </c>
      <c r="E184">
        <f t="shared" si="100"/>
        <v>1009722000</v>
      </c>
      <c r="F184">
        <f t="shared" si="101"/>
        <v>1060996000</v>
      </c>
      <c r="G184" s="17">
        <v>5.9878999999999998E-4</v>
      </c>
      <c r="H184" s="21">
        <f t="shared" si="98"/>
        <v>1686270645802.3682</v>
      </c>
      <c r="I184" s="21">
        <f t="shared" si="99"/>
        <v>1771899998329.9656</v>
      </c>
    </row>
    <row r="185" spans="2:9" x14ac:dyDescent="0.25">
      <c r="B185" s="7">
        <v>31079</v>
      </c>
      <c r="C185" s="6">
        <v>1287707</v>
      </c>
      <c r="D185" s="6">
        <v>1192288</v>
      </c>
      <c r="E185">
        <f t="shared" si="100"/>
        <v>1287707000</v>
      </c>
      <c r="F185">
        <f t="shared" si="101"/>
        <v>1192288000</v>
      </c>
      <c r="G185" s="17">
        <v>7.2272999999999999E-4</v>
      </c>
      <c r="H185" s="21">
        <f t="shared" si="98"/>
        <v>1781726232479.626</v>
      </c>
      <c r="I185" s="21">
        <f t="shared" si="99"/>
        <v>1649700441381.9822</v>
      </c>
    </row>
    <row r="186" spans="2:9" x14ac:dyDescent="0.25">
      <c r="B186" s="7">
        <v>31107</v>
      </c>
      <c r="C186" s="6">
        <v>1589541</v>
      </c>
      <c r="D186" s="6">
        <v>1192319</v>
      </c>
      <c r="E186">
        <f t="shared" si="100"/>
        <v>1589541000</v>
      </c>
      <c r="F186">
        <f t="shared" si="101"/>
        <v>1192319000</v>
      </c>
      <c r="G186" s="17">
        <v>9.1410000000000005E-4</v>
      </c>
      <c r="H186" s="21">
        <f t="shared" si="98"/>
        <v>1738913685592.3857</v>
      </c>
      <c r="I186" s="21">
        <f t="shared" si="99"/>
        <v>1304363855158.0789</v>
      </c>
    </row>
    <row r="187" spans="2:9" x14ac:dyDescent="0.25">
      <c r="B187" s="7">
        <v>31138</v>
      </c>
      <c r="C187" s="6">
        <v>1990534</v>
      </c>
      <c r="D187" s="6">
        <v>1722137</v>
      </c>
      <c r="E187">
        <f t="shared" si="100"/>
        <v>1990534000</v>
      </c>
      <c r="F187">
        <f t="shared" si="101"/>
        <v>1722137000</v>
      </c>
      <c r="G187" s="17">
        <v>1.1835299999999999E-3</v>
      </c>
      <c r="H187" s="21">
        <f t="shared" si="98"/>
        <v>1681861887742.6006</v>
      </c>
      <c r="I187" s="21">
        <f t="shared" si="99"/>
        <v>1455085211190.2529</v>
      </c>
    </row>
    <row r="188" spans="2:9" x14ac:dyDescent="0.25">
      <c r="B188" s="7">
        <v>31168</v>
      </c>
      <c r="C188" s="6">
        <v>2545442</v>
      </c>
      <c r="D188" s="6">
        <v>2082122</v>
      </c>
      <c r="E188">
        <f t="shared" si="100"/>
        <v>2545442000</v>
      </c>
      <c r="F188">
        <f t="shared" si="101"/>
        <v>2082122000</v>
      </c>
      <c r="G188" s="17">
        <v>1.4804200000000001E-3</v>
      </c>
      <c r="H188" s="21">
        <f t="shared" si="98"/>
        <v>1719405303900.2444</v>
      </c>
      <c r="I188" s="21">
        <f t="shared" si="99"/>
        <v>1406440064306.0752</v>
      </c>
    </row>
    <row r="189" spans="2:9" x14ac:dyDescent="0.25">
      <c r="B189" s="7">
        <v>31199</v>
      </c>
      <c r="C189" s="6">
        <v>3110961</v>
      </c>
      <c r="D189" s="6">
        <v>2620575</v>
      </c>
      <c r="E189">
        <f t="shared" si="100"/>
        <v>3110961000</v>
      </c>
      <c r="F189">
        <f t="shared" si="101"/>
        <v>2620575000</v>
      </c>
      <c r="G189" s="17">
        <v>1.9324800000000001E-3</v>
      </c>
      <c r="H189" s="21">
        <f t="shared" si="98"/>
        <v>1609828303527.074</v>
      </c>
      <c r="I189" s="21">
        <f t="shared" si="99"/>
        <v>1356068368107.3025</v>
      </c>
    </row>
    <row r="190" spans="2:9" x14ac:dyDescent="0.25">
      <c r="B190" s="7">
        <v>31229</v>
      </c>
      <c r="C190" s="6">
        <v>3144355</v>
      </c>
      <c r="D190" s="6">
        <v>3304979</v>
      </c>
      <c r="E190">
        <f t="shared" si="100"/>
        <v>3144355000</v>
      </c>
      <c r="F190">
        <f t="shared" si="101"/>
        <v>3304979000</v>
      </c>
      <c r="G190" s="17">
        <v>2.0520500000000001E-3</v>
      </c>
      <c r="H190" s="21">
        <f t="shared" si="98"/>
        <v>1532299407909.1638</v>
      </c>
      <c r="I190" s="21">
        <f t="shared" si="99"/>
        <v>1610574303745.0354</v>
      </c>
    </row>
    <row r="191" spans="2:9" x14ac:dyDescent="0.25">
      <c r="B191" s="7">
        <v>31260</v>
      </c>
      <c r="C191" s="6">
        <v>3277605</v>
      </c>
      <c r="D191" s="6">
        <v>3555481</v>
      </c>
      <c r="E191">
        <f t="shared" si="100"/>
        <v>3277605000</v>
      </c>
      <c r="F191">
        <f t="shared" si="101"/>
        <v>3555481000</v>
      </c>
      <c r="G191" s="17">
        <v>2.1151099999999999E-3</v>
      </c>
      <c r="H191" s="21">
        <f t="shared" si="98"/>
        <v>1549614440856.5039</v>
      </c>
      <c r="I191" s="21">
        <f t="shared" si="99"/>
        <v>1680991059566.6421</v>
      </c>
    </row>
    <row r="192" spans="2:9" x14ac:dyDescent="0.25">
      <c r="B192" s="7">
        <v>31291</v>
      </c>
      <c r="C192" s="6">
        <v>3398751</v>
      </c>
      <c r="D192" s="6">
        <v>3983865</v>
      </c>
      <c r="E192">
        <f t="shared" si="100"/>
        <v>3398751000</v>
      </c>
      <c r="F192">
        <f t="shared" si="101"/>
        <v>3983865000</v>
      </c>
      <c r="G192" s="17">
        <v>2.1572599999999998E-3</v>
      </c>
      <c r="H192" s="21">
        <f t="shared" si="98"/>
        <v>1575494377126.5403</v>
      </c>
      <c r="I192" s="21">
        <f t="shared" si="99"/>
        <v>1846724548733.1152</v>
      </c>
    </row>
    <row r="193" spans="2:9" x14ac:dyDescent="0.25">
      <c r="B193" s="7">
        <v>31321</v>
      </c>
      <c r="C193" s="6">
        <v>3512584</v>
      </c>
      <c r="D193" s="6">
        <v>4189650</v>
      </c>
      <c r="E193">
        <f t="shared" si="100"/>
        <v>3512584000</v>
      </c>
      <c r="F193">
        <f t="shared" si="101"/>
        <v>4189650000</v>
      </c>
      <c r="G193" s="17">
        <v>2.1990899999999999E-3</v>
      </c>
      <c r="H193" s="21">
        <f t="shared" si="98"/>
        <v>1597289788048.6929</v>
      </c>
      <c r="I193" s="21">
        <f t="shared" si="99"/>
        <v>1905174413052.6719</v>
      </c>
    </row>
    <row r="194" spans="2:9" x14ac:dyDescent="0.25">
      <c r="B194" s="7">
        <v>31352</v>
      </c>
      <c r="C194" s="6">
        <v>3632847</v>
      </c>
      <c r="D194" s="6">
        <v>4140634</v>
      </c>
      <c r="E194">
        <f t="shared" si="100"/>
        <v>3632847000</v>
      </c>
      <c r="F194">
        <f t="shared" si="101"/>
        <v>4140634000</v>
      </c>
      <c r="G194" s="17">
        <v>2.2512299999999999E-3</v>
      </c>
      <c r="H194" s="21">
        <f t="shared" si="98"/>
        <v>1613716501645.7671</v>
      </c>
      <c r="I194" s="21">
        <f t="shared" si="99"/>
        <v>1839276306730.0986</v>
      </c>
    </row>
    <row r="195" spans="2:9" x14ac:dyDescent="0.25">
      <c r="B195" s="7">
        <v>31382</v>
      </c>
      <c r="C195" s="6">
        <v>3663288</v>
      </c>
      <c r="D195" s="6">
        <v>4551353</v>
      </c>
      <c r="E195">
        <f t="shared" si="100"/>
        <v>3663288000</v>
      </c>
      <c r="F195">
        <f t="shared" si="101"/>
        <v>4551353000</v>
      </c>
      <c r="G195" s="17">
        <v>2.3227199999999999E-3</v>
      </c>
      <c r="H195" s="21">
        <f t="shared" si="98"/>
        <v>1577154370737.7559</v>
      </c>
      <c r="I195" s="21">
        <f t="shared" si="99"/>
        <v>1959492749879.4517</v>
      </c>
    </row>
    <row r="196" spans="2:9" x14ac:dyDescent="0.25">
      <c r="B196" s="7">
        <v>31413</v>
      </c>
      <c r="C196" s="6">
        <v>3787051</v>
      </c>
      <c r="D196" s="6">
        <v>4608469</v>
      </c>
      <c r="E196">
        <f t="shared" si="100"/>
        <v>3787051000</v>
      </c>
      <c r="F196">
        <f t="shared" si="101"/>
        <v>4608469000</v>
      </c>
      <c r="G196" s="17">
        <v>2.39296E-3</v>
      </c>
      <c r="H196" s="21">
        <f t="shared" si="98"/>
        <v>1582580151778.5505</v>
      </c>
      <c r="I196" s="21">
        <f t="shared" si="99"/>
        <v>1925844560711.4202</v>
      </c>
    </row>
    <row r="197" spans="2:9" x14ac:dyDescent="0.25">
      <c r="B197" s="7">
        <v>31444</v>
      </c>
      <c r="C197" s="6">
        <v>3907485</v>
      </c>
      <c r="D197" s="6">
        <v>4965995</v>
      </c>
      <c r="E197">
        <f t="shared" si="100"/>
        <v>3907485000</v>
      </c>
      <c r="F197">
        <f t="shared" si="101"/>
        <v>4965995000</v>
      </c>
      <c r="G197" s="17">
        <v>2.43355E-3</v>
      </c>
      <c r="H197" s="21">
        <f t="shared" ref="H197:H255" si="102">+E197/G197</f>
        <v>1605672782560.457</v>
      </c>
      <c r="I197" s="21">
        <f t="shared" ref="I197:I255" si="103">+F197/G197</f>
        <v>2040638162355.4067</v>
      </c>
    </row>
    <row r="198" spans="2:9" x14ac:dyDescent="0.25">
      <c r="B198" s="7">
        <v>31472</v>
      </c>
      <c r="C198" s="6">
        <v>4063007</v>
      </c>
      <c r="D198" s="6">
        <v>5104187</v>
      </c>
      <c r="E198">
        <f t="shared" si="100"/>
        <v>4063007000</v>
      </c>
      <c r="F198">
        <f t="shared" si="101"/>
        <v>5104187000</v>
      </c>
      <c r="G198" s="17">
        <v>2.5465599999999998E-3</v>
      </c>
      <c r="H198" s="21">
        <f t="shared" si="102"/>
        <v>1595488423598.8943</v>
      </c>
      <c r="I198" s="21">
        <f t="shared" si="103"/>
        <v>2004345862653.9333</v>
      </c>
    </row>
    <row r="199" spans="2:9" x14ac:dyDescent="0.25">
      <c r="B199" s="7">
        <v>31503</v>
      </c>
      <c r="C199" s="6">
        <v>4226084</v>
      </c>
      <c r="D199" s="6">
        <v>5434536</v>
      </c>
      <c r="E199">
        <f t="shared" si="100"/>
        <v>4226084000</v>
      </c>
      <c r="F199">
        <f t="shared" si="101"/>
        <v>5434536000</v>
      </c>
      <c r="G199" s="17">
        <v>2.6670700000000001E-3</v>
      </c>
      <c r="H199" s="21">
        <f t="shared" si="102"/>
        <v>1584541838046.9954</v>
      </c>
      <c r="I199" s="21">
        <f t="shared" si="103"/>
        <v>2037642806525.5129</v>
      </c>
    </row>
    <row r="200" spans="2:9" x14ac:dyDescent="0.25">
      <c r="B200" s="7">
        <v>31533</v>
      </c>
      <c r="C200" s="6">
        <v>4406720</v>
      </c>
      <c r="D200" s="6">
        <v>5639678</v>
      </c>
      <c r="E200">
        <f t="shared" si="100"/>
        <v>4406720000</v>
      </c>
      <c r="F200">
        <f t="shared" si="101"/>
        <v>5639678000</v>
      </c>
      <c r="G200" s="17">
        <v>2.7744599999999999E-3</v>
      </c>
      <c r="H200" s="21">
        <f t="shared" si="102"/>
        <v>1588316284970.7693</v>
      </c>
      <c r="I200" s="21">
        <f t="shared" si="103"/>
        <v>2032711951154.459</v>
      </c>
    </row>
    <row r="201" spans="2:9" x14ac:dyDescent="0.25">
      <c r="B201" s="7">
        <v>31564</v>
      </c>
      <c r="C201" s="6">
        <v>4590102</v>
      </c>
      <c r="D201" s="6">
        <v>5825382</v>
      </c>
      <c r="E201">
        <f t="shared" si="100"/>
        <v>4590102000</v>
      </c>
      <c r="F201">
        <f t="shared" si="101"/>
        <v>5825382000</v>
      </c>
      <c r="G201" s="17">
        <v>2.9005900000000002E-3</v>
      </c>
      <c r="H201" s="21">
        <f t="shared" si="102"/>
        <v>1582471841935.6062</v>
      </c>
      <c r="I201" s="21">
        <f t="shared" si="103"/>
        <v>2008343819705.646</v>
      </c>
    </row>
    <row r="202" spans="2:9" x14ac:dyDescent="0.25">
      <c r="B202" s="7">
        <v>31594</v>
      </c>
      <c r="C202" s="6">
        <v>4807106</v>
      </c>
      <c r="D202" s="6">
        <v>5806912</v>
      </c>
      <c r="E202">
        <f t="shared" si="100"/>
        <v>4807106000</v>
      </c>
      <c r="F202">
        <f t="shared" si="101"/>
        <v>5806912000</v>
      </c>
      <c r="G202" s="17">
        <v>3.0969600000000002E-3</v>
      </c>
      <c r="H202" s="21">
        <f t="shared" si="102"/>
        <v>1552201513742.5088</v>
      </c>
      <c r="I202" s="21">
        <f t="shared" si="103"/>
        <v>1875036164496.7969</v>
      </c>
    </row>
    <row r="203" spans="2:9" x14ac:dyDescent="0.25">
      <c r="B203" s="7">
        <v>31625</v>
      </c>
      <c r="C203" s="6">
        <v>5112524</v>
      </c>
      <c r="D203" s="6">
        <v>5965671</v>
      </c>
      <c r="E203">
        <f t="shared" si="100"/>
        <v>5112524000</v>
      </c>
      <c r="F203">
        <f t="shared" si="101"/>
        <v>5965671000</v>
      </c>
      <c r="G203" s="17">
        <v>3.3688799999999999E-3</v>
      </c>
      <c r="H203" s="21">
        <f t="shared" si="102"/>
        <v>1517573793070.6941</v>
      </c>
      <c r="I203" s="21">
        <f t="shared" si="103"/>
        <v>1770817304267.2937</v>
      </c>
    </row>
    <row r="204" spans="2:9" x14ac:dyDescent="0.25">
      <c r="B204" s="7">
        <v>31656</v>
      </c>
      <c r="C204" s="6">
        <v>5451027</v>
      </c>
      <c r="D204" s="6">
        <v>6308716</v>
      </c>
      <c r="E204">
        <f t="shared" si="100"/>
        <v>5451027000</v>
      </c>
      <c r="F204">
        <f t="shared" si="101"/>
        <v>6308716000</v>
      </c>
      <c r="G204" s="17">
        <v>3.61239E-3</v>
      </c>
      <c r="H204" s="21">
        <f t="shared" si="102"/>
        <v>1508980757891.5898</v>
      </c>
      <c r="I204" s="21">
        <f t="shared" si="103"/>
        <v>1746410548141.2583</v>
      </c>
    </row>
    <row r="205" spans="2:9" x14ac:dyDescent="0.25">
      <c r="B205" s="7">
        <v>31686</v>
      </c>
      <c r="C205" s="6">
        <v>5813813</v>
      </c>
      <c r="D205" s="6">
        <v>6841211</v>
      </c>
      <c r="E205">
        <f t="shared" si="100"/>
        <v>5813813000</v>
      </c>
      <c r="F205">
        <f t="shared" si="101"/>
        <v>6841211000</v>
      </c>
      <c r="G205" s="17">
        <v>3.8312400000000001E-3</v>
      </c>
      <c r="H205" s="21">
        <f t="shared" si="102"/>
        <v>1517475543166.1812</v>
      </c>
      <c r="I205" s="21">
        <f t="shared" si="103"/>
        <v>1785638853217.2351</v>
      </c>
    </row>
    <row r="206" spans="2:9" x14ac:dyDescent="0.25">
      <c r="B206" s="7">
        <v>31717</v>
      </c>
      <c r="C206" s="6">
        <v>6305136</v>
      </c>
      <c r="D206" s="6">
        <v>7358787</v>
      </c>
      <c r="E206">
        <f t="shared" si="100"/>
        <v>6305136000</v>
      </c>
      <c r="F206">
        <f t="shared" si="101"/>
        <v>7358787000</v>
      </c>
      <c r="G206" s="17">
        <v>4.0341600000000002E-3</v>
      </c>
      <c r="H206" s="21">
        <f t="shared" si="102"/>
        <v>1562936522101.2551</v>
      </c>
      <c r="I206" s="21">
        <f t="shared" si="103"/>
        <v>1824118775655.8984</v>
      </c>
    </row>
    <row r="207" spans="2:9" x14ac:dyDescent="0.25">
      <c r="B207" s="7">
        <v>31747</v>
      </c>
      <c r="C207" s="6">
        <v>6801463</v>
      </c>
      <c r="D207" s="6">
        <v>8266852</v>
      </c>
      <c r="E207">
        <f t="shared" si="100"/>
        <v>6801463000</v>
      </c>
      <c r="F207">
        <f t="shared" si="101"/>
        <v>8266852000</v>
      </c>
      <c r="G207" s="17">
        <v>4.22523E-3</v>
      </c>
      <c r="H207" s="21">
        <f t="shared" si="102"/>
        <v>1609726097750.8916</v>
      </c>
      <c r="I207" s="21">
        <f t="shared" si="103"/>
        <v>1956544850812.8552</v>
      </c>
    </row>
    <row r="208" spans="2:9" x14ac:dyDescent="0.25">
      <c r="B208" s="7">
        <v>31778</v>
      </c>
      <c r="C208" s="6">
        <v>7374219</v>
      </c>
      <c r="D208" s="6">
        <v>13489981</v>
      </c>
      <c r="E208">
        <f t="shared" si="100"/>
        <v>7374219000</v>
      </c>
      <c r="F208">
        <f t="shared" si="101"/>
        <v>13489981000</v>
      </c>
      <c r="G208" s="18">
        <v>4.5455000000000001E-3</v>
      </c>
      <c r="H208" s="21">
        <f t="shared" si="102"/>
        <v>1622311956880.4312</v>
      </c>
      <c r="I208" s="21">
        <f t="shared" si="103"/>
        <v>2967766142338.5767</v>
      </c>
    </row>
    <row r="209" spans="2:9" x14ac:dyDescent="0.25">
      <c r="B209" s="7">
        <v>31809</v>
      </c>
      <c r="C209" s="6">
        <v>7869299</v>
      </c>
      <c r="D209" s="6">
        <v>14019436</v>
      </c>
      <c r="E209">
        <f t="shared" si="100"/>
        <v>7869299000</v>
      </c>
      <c r="F209">
        <f t="shared" si="101"/>
        <v>14019436000</v>
      </c>
      <c r="G209" s="18">
        <v>4.8390000000000004E-3</v>
      </c>
      <c r="H209" s="21">
        <f t="shared" si="102"/>
        <v>1626224219880.1404</v>
      </c>
      <c r="I209" s="21">
        <f t="shared" si="103"/>
        <v>2897176276090.1011</v>
      </c>
    </row>
    <row r="210" spans="2:9" x14ac:dyDescent="0.25">
      <c r="B210" s="7">
        <v>31837</v>
      </c>
      <c r="C210" s="6">
        <v>8256575</v>
      </c>
      <c r="D210" s="6">
        <v>14491368</v>
      </c>
      <c r="E210">
        <f t="shared" si="100"/>
        <v>8256575000</v>
      </c>
      <c r="F210">
        <f t="shared" si="101"/>
        <v>14491368000</v>
      </c>
      <c r="G210" s="18">
        <v>5.2386000000000004E-3</v>
      </c>
      <c r="H210" s="21">
        <f t="shared" si="102"/>
        <v>1576103348222.8076</v>
      </c>
      <c r="I210" s="21">
        <f t="shared" si="103"/>
        <v>2766267323330.6606</v>
      </c>
    </row>
    <row r="211" spans="2:9" x14ac:dyDescent="0.25">
      <c r="B211" s="7">
        <v>31868</v>
      </c>
      <c r="C211" s="6">
        <v>8740185</v>
      </c>
      <c r="D211" s="6">
        <v>15280971</v>
      </c>
      <c r="E211">
        <f t="shared" si="100"/>
        <v>8740185000</v>
      </c>
      <c r="F211">
        <f t="shared" si="101"/>
        <v>15280971000</v>
      </c>
      <c r="G211" s="18">
        <v>5.4133999999999996E-3</v>
      </c>
      <c r="H211" s="21">
        <f t="shared" si="102"/>
        <v>1614546311006.0222</v>
      </c>
      <c r="I211" s="21">
        <f t="shared" si="103"/>
        <v>2822804706838.5859</v>
      </c>
    </row>
    <row r="212" spans="2:9" x14ac:dyDescent="0.25">
      <c r="B212" s="7">
        <v>31898</v>
      </c>
      <c r="C212" s="6">
        <v>9388056</v>
      </c>
      <c r="D212" s="6">
        <v>15798454</v>
      </c>
      <c r="E212">
        <f t="shared" si="100"/>
        <v>9388056000</v>
      </c>
      <c r="F212">
        <f t="shared" si="101"/>
        <v>15798454000</v>
      </c>
      <c r="G212" s="18">
        <v>5.6382000000000003E-3</v>
      </c>
      <c r="H212" s="21">
        <f t="shared" si="102"/>
        <v>1665080344790.8906</v>
      </c>
      <c r="I212" s="21">
        <f t="shared" si="103"/>
        <v>2802038593877.4785</v>
      </c>
    </row>
    <row r="213" spans="2:9" x14ac:dyDescent="0.25">
      <c r="B213" s="7">
        <v>31929</v>
      </c>
      <c r="C213" s="6">
        <v>10135805</v>
      </c>
      <c r="D213" s="6">
        <v>16743815</v>
      </c>
      <c r="E213">
        <f t="shared" si="100"/>
        <v>10135805000</v>
      </c>
      <c r="F213">
        <f t="shared" si="101"/>
        <v>16743815000</v>
      </c>
      <c r="G213" s="18">
        <v>6.0908999999999998E-3</v>
      </c>
      <c r="H213" s="21">
        <f t="shared" si="102"/>
        <v>1664089871775.928</v>
      </c>
      <c r="I213" s="21">
        <f t="shared" si="103"/>
        <v>2748988655206.9482</v>
      </c>
    </row>
    <row r="214" spans="2:9" x14ac:dyDescent="0.25">
      <c r="B214" s="7">
        <v>31959</v>
      </c>
      <c r="C214" s="6">
        <v>11107729</v>
      </c>
      <c r="D214" s="6">
        <v>17677254</v>
      </c>
      <c r="E214">
        <f t="shared" si="100"/>
        <v>11107729000</v>
      </c>
      <c r="F214">
        <f t="shared" si="101"/>
        <v>17677254000</v>
      </c>
      <c r="G214" s="18">
        <v>6.7058999999999999E-3</v>
      </c>
      <c r="H214" s="21">
        <f t="shared" si="102"/>
        <v>1656411369092.8884</v>
      </c>
      <c r="I214" s="21">
        <f t="shared" si="103"/>
        <v>2636074799803.1587</v>
      </c>
    </row>
    <row r="215" spans="2:9" x14ac:dyDescent="0.25">
      <c r="B215" s="7">
        <v>31990</v>
      </c>
      <c r="C215" s="6">
        <v>12398079</v>
      </c>
      <c r="D215" s="6">
        <v>19578988</v>
      </c>
      <c r="E215">
        <f t="shared" si="100"/>
        <v>12398079000</v>
      </c>
      <c r="F215">
        <f t="shared" si="101"/>
        <v>19578988000</v>
      </c>
      <c r="G215" s="18">
        <v>7.6268999999999998E-3</v>
      </c>
      <c r="H215" s="21">
        <f t="shared" si="102"/>
        <v>1625572513078.7083</v>
      </c>
      <c r="I215" s="21">
        <f t="shared" si="103"/>
        <v>2567096461209.666</v>
      </c>
    </row>
    <row r="216" spans="2:9" x14ac:dyDescent="0.25">
      <c r="B216" s="7">
        <v>32021</v>
      </c>
      <c r="C216" s="6">
        <v>14044107</v>
      </c>
      <c r="D216" s="6">
        <v>21705886</v>
      </c>
      <c r="E216">
        <f t="shared" si="100"/>
        <v>14044107000</v>
      </c>
      <c r="F216">
        <f t="shared" si="101"/>
        <v>21705886000</v>
      </c>
      <c r="G216" s="18">
        <v>8.5165999999999992E-3</v>
      </c>
      <c r="H216" s="21">
        <f t="shared" si="102"/>
        <v>1649027428786.1355</v>
      </c>
      <c r="I216" s="21">
        <f t="shared" si="103"/>
        <v>2548656271281.9673</v>
      </c>
    </row>
    <row r="217" spans="2:9" x14ac:dyDescent="0.25">
      <c r="B217" s="7">
        <v>32051</v>
      </c>
      <c r="C217" s="6">
        <v>16244115</v>
      </c>
      <c r="D217" s="6">
        <v>24358452</v>
      </c>
      <c r="E217">
        <f t="shared" si="100"/>
        <v>16244115000</v>
      </c>
      <c r="F217">
        <f t="shared" si="101"/>
        <v>24358452000</v>
      </c>
      <c r="G217" s="18">
        <v>1.01838E-2</v>
      </c>
      <c r="H217" s="21">
        <f t="shared" si="102"/>
        <v>1595093678194.78</v>
      </c>
      <c r="I217" s="21">
        <f t="shared" si="103"/>
        <v>2391882401461.144</v>
      </c>
    </row>
    <row r="218" spans="2:9" x14ac:dyDescent="0.25">
      <c r="B218" s="7">
        <v>32082</v>
      </c>
      <c r="C218" s="6">
        <v>17345103</v>
      </c>
      <c r="D218" s="6">
        <v>25857410</v>
      </c>
      <c r="E218">
        <f t="shared" si="100"/>
        <v>17345103000</v>
      </c>
      <c r="F218">
        <f t="shared" si="101"/>
        <v>25857410000</v>
      </c>
      <c r="G218" s="18">
        <v>1.1229599999999999E-2</v>
      </c>
      <c r="H218" s="21">
        <f t="shared" si="102"/>
        <v>1544587785851.6777</v>
      </c>
      <c r="I218" s="21">
        <f t="shared" si="103"/>
        <v>2302611847260.811</v>
      </c>
    </row>
    <row r="219" spans="2:9" x14ac:dyDescent="0.25">
      <c r="B219" s="7">
        <v>32112</v>
      </c>
      <c r="C219" s="6">
        <v>19161230</v>
      </c>
      <c r="D219" s="6">
        <v>44634186</v>
      </c>
      <c r="E219">
        <f t="shared" si="100"/>
        <v>19161230000</v>
      </c>
      <c r="F219">
        <f t="shared" si="101"/>
        <v>44634186000</v>
      </c>
      <c r="G219" s="18">
        <v>1.1610499999999999E-2</v>
      </c>
      <c r="H219" s="21">
        <f t="shared" si="102"/>
        <v>1650336333491.2366</v>
      </c>
      <c r="I219" s="21">
        <f t="shared" si="103"/>
        <v>3844294905473.4941</v>
      </c>
    </row>
    <row r="220" spans="2:9" x14ac:dyDescent="0.25">
      <c r="B220" s="7">
        <v>32143</v>
      </c>
      <c r="C220" s="6">
        <v>21838.392</v>
      </c>
      <c r="D220" s="6">
        <v>46664.742000000006</v>
      </c>
      <c r="E220">
        <f t="shared" si="100"/>
        <v>21838392</v>
      </c>
      <c r="F220">
        <f t="shared" si="101"/>
        <v>46664742.000000007</v>
      </c>
      <c r="G220" s="19">
        <v>1.2666E-2</v>
      </c>
      <c r="H220" s="21">
        <f t="shared" si="102"/>
        <v>1724174324.9644718</v>
      </c>
      <c r="I220" s="21">
        <f t="shared" si="103"/>
        <v>3684252486.9729991</v>
      </c>
    </row>
    <row r="221" spans="2:9" x14ac:dyDescent="0.25">
      <c r="B221" s="7">
        <v>32174</v>
      </c>
      <c r="C221" s="6">
        <v>24450.259000000002</v>
      </c>
      <c r="D221" s="6">
        <v>50819.098999999995</v>
      </c>
      <c r="E221">
        <f t="shared" si="100"/>
        <v>24450259</v>
      </c>
      <c r="F221">
        <f t="shared" si="101"/>
        <v>50819098.999999993</v>
      </c>
      <c r="G221" s="19">
        <v>1.3986E-2</v>
      </c>
      <c r="H221" s="21">
        <f t="shared" si="102"/>
        <v>1748195266.6952667</v>
      </c>
      <c r="I221" s="21">
        <f t="shared" si="103"/>
        <v>3633569212.0692115</v>
      </c>
    </row>
    <row r="222" spans="2:9" x14ac:dyDescent="0.25">
      <c r="B222" s="7">
        <v>32203</v>
      </c>
      <c r="C222" s="6">
        <v>30043.889000000003</v>
      </c>
      <c r="D222" s="6">
        <v>56651.519</v>
      </c>
      <c r="E222">
        <f t="shared" si="100"/>
        <v>30043889.000000004</v>
      </c>
      <c r="F222">
        <f t="shared" si="101"/>
        <v>56651519</v>
      </c>
      <c r="G222" s="19">
        <v>1.6049999999999998E-2</v>
      </c>
      <c r="H222" s="21">
        <f t="shared" si="102"/>
        <v>1871893395.6386297</v>
      </c>
      <c r="I222" s="21">
        <f t="shared" si="103"/>
        <v>3529689657.3208728</v>
      </c>
    </row>
    <row r="223" spans="2:9" x14ac:dyDescent="0.25">
      <c r="B223" s="7">
        <v>32234</v>
      </c>
      <c r="C223" s="6">
        <v>34142.9</v>
      </c>
      <c r="D223" s="6">
        <v>61756.663</v>
      </c>
      <c r="E223">
        <f t="shared" si="100"/>
        <v>34142900</v>
      </c>
      <c r="F223">
        <f t="shared" si="101"/>
        <v>61756663</v>
      </c>
      <c r="G223" s="19">
        <v>1.8815999999999999E-2</v>
      </c>
      <c r="H223" s="21">
        <f t="shared" si="102"/>
        <v>1814567389.4557824</v>
      </c>
      <c r="I223" s="21">
        <f t="shared" si="103"/>
        <v>3282135576.105442</v>
      </c>
    </row>
    <row r="224" spans="2:9" x14ac:dyDescent="0.25">
      <c r="B224" s="7">
        <v>32264</v>
      </c>
      <c r="C224" s="6">
        <v>40809.627</v>
      </c>
      <c r="D224" s="6">
        <v>72017.437999999995</v>
      </c>
      <c r="E224">
        <f t="shared" si="100"/>
        <v>40809627</v>
      </c>
      <c r="F224">
        <f t="shared" si="101"/>
        <v>72017438</v>
      </c>
      <c r="G224" s="19">
        <v>2.1772E-2</v>
      </c>
      <c r="H224" s="21">
        <f t="shared" si="102"/>
        <v>1874408735.9911814</v>
      </c>
      <c r="I224" s="21">
        <f t="shared" si="103"/>
        <v>3307800753.2610693</v>
      </c>
    </row>
    <row r="225" spans="2:9" x14ac:dyDescent="0.25">
      <c r="B225" s="7">
        <v>32295</v>
      </c>
      <c r="C225" s="6">
        <v>47229.938000000002</v>
      </c>
      <c r="D225" s="6">
        <v>87641.133000000002</v>
      </c>
      <c r="E225">
        <f t="shared" ref="E225:E243" si="104">+C225*1000</f>
        <v>47229938</v>
      </c>
      <c r="F225">
        <f t="shared" ref="F225:F243" si="105">+D225*1000</f>
        <v>87641133</v>
      </c>
      <c r="G225" s="19">
        <v>2.5683999999999998E-2</v>
      </c>
      <c r="H225" s="21">
        <f t="shared" si="102"/>
        <v>1838885609.7181125</v>
      </c>
      <c r="I225" s="21">
        <f t="shared" si="103"/>
        <v>3412285197.0098119</v>
      </c>
    </row>
    <row r="226" spans="2:9" x14ac:dyDescent="0.25">
      <c r="B226" s="7">
        <v>32325</v>
      </c>
      <c r="C226" s="6">
        <v>62143.997000000003</v>
      </c>
      <c r="D226" s="6">
        <v>107406.106</v>
      </c>
      <c r="E226">
        <f t="shared" si="104"/>
        <v>62143997</v>
      </c>
      <c r="F226">
        <f t="shared" si="105"/>
        <v>107406106</v>
      </c>
      <c r="G226" s="19">
        <v>3.2271000000000001E-2</v>
      </c>
      <c r="H226" s="21">
        <f t="shared" si="102"/>
        <v>1925691704.6264448</v>
      </c>
      <c r="I226" s="21">
        <f t="shared" si="103"/>
        <v>3328254655.8829908</v>
      </c>
    </row>
    <row r="227" spans="2:9" x14ac:dyDescent="0.25">
      <c r="B227" s="7">
        <v>32356</v>
      </c>
      <c r="C227" s="6">
        <v>76920.866000000009</v>
      </c>
      <c r="D227" s="6">
        <v>130864.773</v>
      </c>
      <c r="E227">
        <f t="shared" si="104"/>
        <v>76920866.000000015</v>
      </c>
      <c r="F227">
        <f t="shared" si="105"/>
        <v>130864773</v>
      </c>
      <c r="G227" s="19">
        <v>4.1184999999999999E-2</v>
      </c>
      <c r="H227" s="21">
        <f t="shared" si="102"/>
        <v>1867691295.3745298</v>
      </c>
      <c r="I227" s="21">
        <f t="shared" si="103"/>
        <v>3177486293.5534782</v>
      </c>
    </row>
    <row r="228" spans="2:9" x14ac:dyDescent="0.25">
      <c r="B228" s="7">
        <v>32387</v>
      </c>
      <c r="C228" s="6">
        <v>89732.565000000017</v>
      </c>
      <c r="D228" s="6">
        <v>168984.09899999999</v>
      </c>
      <c r="E228">
        <f t="shared" si="104"/>
        <v>89732565.000000015</v>
      </c>
      <c r="F228">
        <f t="shared" si="105"/>
        <v>168984099</v>
      </c>
      <c r="G228" s="19">
        <v>4.6002000000000001E-2</v>
      </c>
      <c r="H228" s="21">
        <f t="shared" si="102"/>
        <v>1950623125.0815184</v>
      </c>
      <c r="I228" s="21">
        <f t="shared" si="103"/>
        <v>3673407656.1888614</v>
      </c>
    </row>
    <row r="229" spans="2:9" x14ac:dyDescent="0.25">
      <c r="B229" s="7">
        <v>32417</v>
      </c>
      <c r="C229" s="6">
        <v>101302.40700000001</v>
      </c>
      <c r="D229" s="6">
        <v>182442.114</v>
      </c>
      <c r="E229">
        <f t="shared" si="104"/>
        <v>101302407</v>
      </c>
      <c r="F229">
        <f t="shared" si="105"/>
        <v>182442114</v>
      </c>
      <c r="G229" s="19">
        <v>5.0138000000000002E-2</v>
      </c>
      <c r="H229" s="21">
        <f t="shared" si="102"/>
        <v>2020471638.2783518</v>
      </c>
      <c r="I229" s="21">
        <f t="shared" si="103"/>
        <v>3638799194.2239418</v>
      </c>
    </row>
    <row r="230" spans="2:9" x14ac:dyDescent="0.25">
      <c r="B230" s="7">
        <v>32448</v>
      </c>
      <c r="C230" s="6">
        <v>113092.129</v>
      </c>
      <c r="D230" s="6">
        <v>194784.117</v>
      </c>
      <c r="E230">
        <f t="shared" si="104"/>
        <v>113092129</v>
      </c>
      <c r="F230">
        <f t="shared" si="105"/>
        <v>194784117</v>
      </c>
      <c r="G230" s="19">
        <v>5.3001E-2</v>
      </c>
      <c r="H230" s="21">
        <f t="shared" si="102"/>
        <v>2133773494.83972</v>
      </c>
      <c r="I230" s="21">
        <f t="shared" si="103"/>
        <v>3675102677.3079753</v>
      </c>
    </row>
    <row r="231" spans="2:9" x14ac:dyDescent="0.25">
      <c r="B231" s="7">
        <v>32478</v>
      </c>
      <c r="C231" s="6">
        <v>132442.38</v>
      </c>
      <c r="D231" s="6">
        <v>228819.734</v>
      </c>
      <c r="E231">
        <f t="shared" si="104"/>
        <v>132442380</v>
      </c>
      <c r="F231">
        <f t="shared" si="105"/>
        <v>228819734</v>
      </c>
      <c r="G231" s="19">
        <v>5.6628999999999999E-2</v>
      </c>
      <c r="H231" s="21">
        <f t="shared" si="102"/>
        <v>2338773066.8032279</v>
      </c>
      <c r="I231" s="21">
        <f t="shared" si="103"/>
        <v>4040681170.4250474</v>
      </c>
    </row>
    <row r="232" spans="2:9" x14ac:dyDescent="0.25">
      <c r="B232" s="7">
        <v>32509</v>
      </c>
      <c r="C232" s="6">
        <v>152989</v>
      </c>
      <c r="D232" s="6">
        <v>245361</v>
      </c>
      <c r="E232">
        <f t="shared" si="104"/>
        <v>152989000</v>
      </c>
      <c r="F232">
        <f t="shared" si="105"/>
        <v>245361000</v>
      </c>
      <c r="G232" s="19">
        <v>6.1679999999999999E-2</v>
      </c>
      <c r="H232" s="21">
        <f t="shared" si="102"/>
        <v>2480366407.2632947</v>
      </c>
      <c r="I232" s="21">
        <f t="shared" si="103"/>
        <v>3977966926.0700388</v>
      </c>
    </row>
    <row r="233" spans="2:9" x14ac:dyDescent="0.25">
      <c r="B233" s="7">
        <v>32540</v>
      </c>
      <c r="C233" s="6">
        <v>170447</v>
      </c>
      <c r="D233" s="6">
        <v>270387</v>
      </c>
      <c r="E233">
        <f t="shared" si="104"/>
        <v>170447000</v>
      </c>
      <c r="F233">
        <f t="shared" si="105"/>
        <v>270387000</v>
      </c>
      <c r="G233" s="19">
        <v>6.7596000000000003E-2</v>
      </c>
      <c r="H233" s="21">
        <f t="shared" si="102"/>
        <v>2521554529.8538375</v>
      </c>
      <c r="I233" s="21">
        <f t="shared" si="103"/>
        <v>4000044381.3243384</v>
      </c>
    </row>
    <row r="234" spans="2:9" x14ac:dyDescent="0.25">
      <c r="B234" s="7">
        <v>32568</v>
      </c>
      <c r="C234" s="6">
        <v>217148</v>
      </c>
      <c r="D234" s="6">
        <v>290917</v>
      </c>
      <c r="E234">
        <f t="shared" si="104"/>
        <v>217148000</v>
      </c>
      <c r="F234">
        <f t="shared" si="105"/>
        <v>290917000</v>
      </c>
      <c r="G234" s="19">
        <v>7.9090999999999995E-2</v>
      </c>
      <c r="H234" s="21">
        <f t="shared" si="102"/>
        <v>2745546269.4870467</v>
      </c>
      <c r="I234" s="21">
        <f t="shared" si="103"/>
        <v>3678256691.6589751</v>
      </c>
    </row>
    <row r="235" spans="2:9" x14ac:dyDescent="0.25">
      <c r="B235" s="7">
        <v>32599</v>
      </c>
      <c r="C235" s="6">
        <v>246533</v>
      </c>
      <c r="D235" s="6">
        <v>370679</v>
      </c>
      <c r="E235">
        <f t="shared" si="104"/>
        <v>246533000</v>
      </c>
      <c r="F235">
        <f t="shared" si="105"/>
        <v>370679000</v>
      </c>
      <c r="G235" s="19">
        <v>0.10548399999999999</v>
      </c>
      <c r="H235" s="21">
        <f t="shared" si="102"/>
        <v>2337160138.0304122</v>
      </c>
      <c r="I235" s="21">
        <f t="shared" si="103"/>
        <v>3514077964.430625</v>
      </c>
    </row>
    <row r="236" spans="2:9" x14ac:dyDescent="0.25">
      <c r="B236" s="7">
        <v>32629</v>
      </c>
      <c r="C236" s="6">
        <v>438342</v>
      </c>
      <c r="D236" s="6">
        <v>624599</v>
      </c>
      <c r="E236">
        <f t="shared" si="104"/>
        <v>438342000</v>
      </c>
      <c r="F236">
        <f t="shared" si="105"/>
        <v>624599000</v>
      </c>
      <c r="G236" s="19">
        <v>0.18825600000000001</v>
      </c>
      <c r="H236" s="21">
        <f t="shared" si="102"/>
        <v>2328435747.0678225</v>
      </c>
      <c r="I236" s="21">
        <f t="shared" si="103"/>
        <v>3317817227.6049633</v>
      </c>
    </row>
    <row r="237" spans="2:9" x14ac:dyDescent="0.25">
      <c r="B237" s="7">
        <v>32660</v>
      </c>
      <c r="C237" s="6">
        <v>1082933</v>
      </c>
      <c r="D237" s="6">
        <v>1219297</v>
      </c>
      <c r="E237">
        <f t="shared" si="104"/>
        <v>1082933000</v>
      </c>
      <c r="F237">
        <f t="shared" si="105"/>
        <v>1219297000</v>
      </c>
      <c r="G237" s="19">
        <v>0.40375699999999998</v>
      </c>
      <c r="H237" s="21">
        <f t="shared" si="102"/>
        <v>2682140495.3969841</v>
      </c>
      <c r="I237" s="21">
        <f t="shared" si="103"/>
        <v>3019878293.1317601</v>
      </c>
    </row>
    <row r="238" spans="2:9" x14ac:dyDescent="0.25">
      <c r="B238" s="7">
        <v>32690</v>
      </c>
      <c r="C238" s="6">
        <v>2018456</v>
      </c>
      <c r="D238" s="6">
        <v>2437931</v>
      </c>
      <c r="E238">
        <f t="shared" si="104"/>
        <v>2018456000</v>
      </c>
      <c r="F238">
        <f t="shared" si="105"/>
        <v>2437931000</v>
      </c>
      <c r="G238" s="19">
        <v>1.1976800000000001</v>
      </c>
      <c r="H238" s="21">
        <f t="shared" si="102"/>
        <v>1685304922.8508449</v>
      </c>
      <c r="I238" s="21">
        <f t="shared" si="103"/>
        <v>2035544552.802084</v>
      </c>
    </row>
    <row r="239" spans="2:9" x14ac:dyDescent="0.25">
      <c r="B239" s="7">
        <v>32721</v>
      </c>
      <c r="C239" s="6">
        <v>2727377</v>
      </c>
      <c r="D239" s="6">
        <v>6240751</v>
      </c>
      <c r="E239">
        <f t="shared" si="104"/>
        <v>2727377000</v>
      </c>
      <c r="F239">
        <f t="shared" si="105"/>
        <v>6240751000</v>
      </c>
      <c r="G239" s="19">
        <v>1.651138</v>
      </c>
      <c r="H239" s="21">
        <f t="shared" si="102"/>
        <v>1651816504.7379444</v>
      </c>
      <c r="I239" s="21">
        <f t="shared" si="103"/>
        <v>3779666508.7957516</v>
      </c>
    </row>
    <row r="240" spans="2:9" x14ac:dyDescent="0.25">
      <c r="B240" s="7">
        <v>32752</v>
      </c>
      <c r="C240" s="6">
        <v>3081046</v>
      </c>
      <c r="D240" s="6">
        <v>7670207</v>
      </c>
      <c r="E240">
        <f t="shared" si="104"/>
        <v>3081046000</v>
      </c>
      <c r="F240">
        <f t="shared" si="105"/>
        <v>7670207000</v>
      </c>
      <c r="G240" s="19">
        <v>1.8056080000000001</v>
      </c>
      <c r="H240" s="21">
        <f t="shared" si="102"/>
        <v>1706375913.2657807</v>
      </c>
      <c r="I240" s="21">
        <f t="shared" si="103"/>
        <v>4247991258.3462191</v>
      </c>
    </row>
    <row r="241" spans="2:9" x14ac:dyDescent="0.25">
      <c r="B241" s="7">
        <v>32782</v>
      </c>
      <c r="C241" s="6">
        <v>3293149</v>
      </c>
      <c r="D241" s="6">
        <v>8153507</v>
      </c>
      <c r="E241">
        <f t="shared" si="104"/>
        <v>3293149000</v>
      </c>
      <c r="F241">
        <f t="shared" si="105"/>
        <v>8153507000</v>
      </c>
      <c r="G241" s="19">
        <v>1.9066369999999999</v>
      </c>
      <c r="H241" s="21">
        <f t="shared" si="102"/>
        <v>1727202923.2622676</v>
      </c>
      <c r="I241" s="21">
        <f t="shared" si="103"/>
        <v>4276381398.2420359</v>
      </c>
    </row>
    <row r="242" spans="2:9" x14ac:dyDescent="0.25">
      <c r="B242" s="7">
        <v>32813</v>
      </c>
      <c r="C242" s="6">
        <v>3766667</v>
      </c>
      <c r="D242" s="6">
        <v>8392960</v>
      </c>
      <c r="E242">
        <f t="shared" si="104"/>
        <v>3766667000</v>
      </c>
      <c r="F242">
        <f t="shared" si="105"/>
        <v>8392960000</v>
      </c>
      <c r="G242" s="19">
        <v>2.0309309999999998</v>
      </c>
      <c r="H242" s="21">
        <f t="shared" si="102"/>
        <v>1854650404.1742435</v>
      </c>
      <c r="I242" s="21">
        <f t="shared" si="103"/>
        <v>4132567773.1050444</v>
      </c>
    </row>
    <row r="243" spans="2:9" x14ac:dyDescent="0.25">
      <c r="B243" s="7">
        <v>32843</v>
      </c>
      <c r="C243" s="6">
        <v>4309224</v>
      </c>
      <c r="D243" s="6">
        <v>9394132</v>
      </c>
      <c r="E243">
        <f t="shared" si="104"/>
        <v>4309224000</v>
      </c>
      <c r="F243">
        <f t="shared" si="105"/>
        <v>9394132000</v>
      </c>
      <c r="G243" s="19">
        <v>2.8447849999999999</v>
      </c>
      <c r="H243" s="21">
        <f t="shared" si="102"/>
        <v>1514780203.073343</v>
      </c>
      <c r="I243" s="21">
        <f t="shared" si="103"/>
        <v>3302229166.7032833</v>
      </c>
    </row>
    <row r="244" spans="2:9" x14ac:dyDescent="0.25">
      <c r="B244" s="7">
        <v>32874</v>
      </c>
      <c r="C244" s="6">
        <v>1320341</v>
      </c>
      <c r="D244" s="6">
        <v>1302853</v>
      </c>
      <c r="E244">
        <f t="shared" ref="E244:E255" si="106">+C244*1000</f>
        <v>1320341000</v>
      </c>
      <c r="F244">
        <f t="shared" ref="F244:F255" si="107">+D244*1000</f>
        <v>1302853000</v>
      </c>
      <c r="G244" s="20">
        <v>5.0979999999999999</v>
      </c>
      <c r="H244" s="21">
        <f t="shared" si="102"/>
        <v>258991957.6304433</v>
      </c>
      <c r="I244" s="21">
        <f t="shared" si="103"/>
        <v>255561592.78148293</v>
      </c>
    </row>
    <row r="245" spans="2:9" x14ac:dyDescent="0.25">
      <c r="B245" s="7">
        <v>32905</v>
      </c>
      <c r="C245" s="6">
        <v>1419639</v>
      </c>
      <c r="D245" s="6">
        <v>2075478</v>
      </c>
      <c r="E245">
        <f t="shared" si="106"/>
        <v>1419639000</v>
      </c>
      <c r="F245">
        <f t="shared" si="107"/>
        <v>2075478000</v>
      </c>
      <c r="G245" s="20">
        <v>8.2368000000000006</v>
      </c>
      <c r="H245" s="21">
        <f t="shared" si="102"/>
        <v>172353219.69696969</v>
      </c>
      <c r="I245" s="21">
        <f t="shared" si="103"/>
        <v>251976252.91375288</v>
      </c>
    </row>
    <row r="246" spans="2:9" x14ac:dyDescent="0.25">
      <c r="B246" s="7">
        <v>32933</v>
      </c>
      <c r="C246" s="6">
        <v>1511698</v>
      </c>
      <c r="D246" s="6">
        <v>3783376</v>
      </c>
      <c r="E246">
        <f t="shared" si="106"/>
        <v>1511698000</v>
      </c>
      <c r="F246">
        <f t="shared" si="107"/>
        <v>3783376000</v>
      </c>
      <c r="G246" s="20">
        <v>16.1052</v>
      </c>
      <c r="H246" s="21">
        <f t="shared" si="102"/>
        <v>93863969.401187196</v>
      </c>
      <c r="I246" s="21">
        <f t="shared" si="103"/>
        <v>234916424.50885427</v>
      </c>
    </row>
    <row r="247" spans="2:9" x14ac:dyDescent="0.25">
      <c r="B247" s="7">
        <v>32964</v>
      </c>
      <c r="C247" s="6">
        <v>1422701</v>
      </c>
      <c r="D247" s="6">
        <v>6208721</v>
      </c>
      <c r="E247">
        <f t="shared" si="106"/>
        <v>1422701000</v>
      </c>
      <c r="F247">
        <f t="shared" si="107"/>
        <v>6208721000</v>
      </c>
      <c r="G247" s="20">
        <v>17.936699999999998</v>
      </c>
      <c r="H247" s="21">
        <f t="shared" si="102"/>
        <v>79317878.985543609</v>
      </c>
      <c r="I247" s="21">
        <f t="shared" si="103"/>
        <v>346146225.33687919</v>
      </c>
    </row>
    <row r="248" spans="2:9" x14ac:dyDescent="0.25">
      <c r="B248" s="7">
        <v>32994</v>
      </c>
      <c r="C248" s="6">
        <v>1278212</v>
      </c>
      <c r="D248" s="6">
        <v>7120465</v>
      </c>
      <c r="E248">
        <f t="shared" si="106"/>
        <v>1278212000</v>
      </c>
      <c r="F248">
        <f t="shared" si="107"/>
        <v>7120465000</v>
      </c>
      <c r="G248" s="20">
        <v>20.377500000000001</v>
      </c>
      <c r="H248" s="21">
        <f t="shared" si="102"/>
        <v>62726634.768740028</v>
      </c>
      <c r="I248" s="21">
        <f t="shared" si="103"/>
        <v>349427800.26990551</v>
      </c>
    </row>
    <row r="249" spans="2:9" x14ac:dyDescent="0.25">
      <c r="B249" s="7">
        <v>33025</v>
      </c>
      <c r="C249" s="6">
        <v>1272329</v>
      </c>
      <c r="D249" s="6">
        <v>7751331</v>
      </c>
      <c r="E249">
        <f t="shared" si="106"/>
        <v>1272329000</v>
      </c>
      <c r="F249">
        <f t="shared" si="107"/>
        <v>7751331000</v>
      </c>
      <c r="G249" s="20">
        <v>23.209499999999998</v>
      </c>
      <c r="H249" s="21">
        <f t="shared" si="102"/>
        <v>54819319.675133035</v>
      </c>
      <c r="I249" s="21">
        <f t="shared" si="103"/>
        <v>333972338.91294515</v>
      </c>
    </row>
    <row r="250" spans="2:9" x14ac:dyDescent="0.25">
      <c r="B250" s="7">
        <v>33055</v>
      </c>
      <c r="C250" s="6">
        <v>1276916</v>
      </c>
      <c r="D250" s="6">
        <v>8755963</v>
      </c>
      <c r="E250">
        <f t="shared" si="106"/>
        <v>1276916000</v>
      </c>
      <c r="F250">
        <f t="shared" si="107"/>
        <v>8755963000</v>
      </c>
      <c r="G250" s="20">
        <v>25.722000000000001</v>
      </c>
      <c r="H250" s="21">
        <f t="shared" si="102"/>
        <v>49642951.558976747</v>
      </c>
      <c r="I250" s="21">
        <f t="shared" si="103"/>
        <v>340407549.95723504</v>
      </c>
    </row>
    <row r="251" spans="2:9" x14ac:dyDescent="0.25">
      <c r="B251" s="7">
        <v>33086</v>
      </c>
      <c r="C251" s="6">
        <v>1284161</v>
      </c>
      <c r="D251" s="6">
        <v>9294189</v>
      </c>
      <c r="E251">
        <f t="shared" si="106"/>
        <v>1284161000</v>
      </c>
      <c r="F251">
        <f t="shared" si="107"/>
        <v>9294189000</v>
      </c>
      <c r="G251" s="20">
        <v>29.667200000000001</v>
      </c>
      <c r="H251" s="21">
        <f t="shared" si="102"/>
        <v>43285547.675547406</v>
      </c>
      <c r="I251" s="21">
        <f t="shared" si="103"/>
        <v>313281637.63348073</v>
      </c>
    </row>
    <row r="252" spans="2:9" x14ac:dyDescent="0.25">
      <c r="B252" s="7">
        <v>33117</v>
      </c>
      <c r="C252" s="6">
        <v>1339434</v>
      </c>
      <c r="D252" s="6">
        <v>10783596</v>
      </c>
      <c r="E252">
        <f t="shared" si="106"/>
        <v>1339434000</v>
      </c>
      <c r="F252">
        <f t="shared" si="107"/>
        <v>10783596000</v>
      </c>
      <c r="G252" s="20">
        <v>34.318199999999997</v>
      </c>
      <c r="H252" s="21">
        <f t="shared" si="102"/>
        <v>39029844.222599089</v>
      </c>
      <c r="I252" s="21">
        <f t="shared" si="103"/>
        <v>314223822.92777598</v>
      </c>
    </row>
    <row r="253" spans="2:9" x14ac:dyDescent="0.25">
      <c r="B253" s="7">
        <v>33147</v>
      </c>
      <c r="C253" s="6">
        <v>1383616</v>
      </c>
      <c r="D253" s="6">
        <v>12200375</v>
      </c>
      <c r="E253">
        <f t="shared" si="106"/>
        <v>1383616000</v>
      </c>
      <c r="F253">
        <f t="shared" si="107"/>
        <v>12200375000</v>
      </c>
      <c r="G253" s="20">
        <v>36.9574</v>
      </c>
      <c r="H253" s="21">
        <f t="shared" si="102"/>
        <v>37438131.470287412</v>
      </c>
      <c r="I253" s="21">
        <f t="shared" si="103"/>
        <v>330119948.91415524</v>
      </c>
    </row>
    <row r="254" spans="2:9" x14ac:dyDescent="0.25">
      <c r="B254" s="7">
        <v>33178</v>
      </c>
      <c r="C254" s="6">
        <v>1462761</v>
      </c>
      <c r="D254" s="6">
        <v>12805635</v>
      </c>
      <c r="E254">
        <f t="shared" si="106"/>
        <v>1462761000</v>
      </c>
      <c r="F254">
        <f t="shared" si="107"/>
        <v>12805635000</v>
      </c>
      <c r="G254" s="20">
        <v>39.241599999999998</v>
      </c>
      <c r="H254" s="21">
        <f t="shared" si="102"/>
        <v>37275773.668759689</v>
      </c>
      <c r="I254" s="21">
        <f t="shared" si="103"/>
        <v>326328054.92130804</v>
      </c>
    </row>
    <row r="255" spans="2:9" x14ac:dyDescent="0.25">
      <c r="B255" s="7">
        <v>33208</v>
      </c>
      <c r="C255" s="6">
        <v>1326177</v>
      </c>
      <c r="D255" s="6">
        <v>14516456</v>
      </c>
      <c r="E255">
        <f t="shared" si="106"/>
        <v>1326177000</v>
      </c>
      <c r="F255">
        <f t="shared" si="107"/>
        <v>14516456000</v>
      </c>
      <c r="G255" s="20">
        <v>41.076700000000002</v>
      </c>
      <c r="H255" s="21">
        <f t="shared" si="102"/>
        <v>32285383.197773919</v>
      </c>
      <c r="I255" s="21">
        <f t="shared" si="103"/>
        <v>353398788.12075943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388.2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Tossolini</dc:creator>
  <cp:lastModifiedBy>Lucas Tossolini</cp:lastModifiedBy>
  <dcterms:created xsi:type="dcterms:W3CDTF">2018-11-08T19:43:12Z</dcterms:created>
  <dcterms:modified xsi:type="dcterms:W3CDTF">2018-11-08T21:22:10Z</dcterms:modified>
</cp:coreProperties>
</file>