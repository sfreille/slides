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hidden" name="2025" sheetId="2" r:id="rId6"/>
    <sheet state="hidden" name="Propuesta 2025 Meli" sheetId="3" r:id="rId7"/>
    <sheet state="hidden" name="2024" sheetId="4" r:id="rId8"/>
    <sheet state="hidden" name="2023" sheetId="5" r:id="rId9"/>
  </sheets>
  <definedNames>
    <definedName hidden="1" localSheetId="0" name="_xlnm._FilterDatabase">'2026'!$A$1:$I$45</definedName>
  </definedNames>
  <calcPr/>
</workbook>
</file>

<file path=xl/sharedStrings.xml><?xml version="1.0" encoding="utf-8"?>
<sst xmlns="http://schemas.openxmlformats.org/spreadsheetml/2006/main" count="767" uniqueCount="191">
  <si>
    <t>Fecha</t>
  </si>
  <si>
    <t>Día</t>
  </si>
  <si>
    <t>Hora</t>
  </si>
  <si>
    <t>Semana</t>
  </si>
  <si>
    <t>Aula</t>
  </si>
  <si>
    <t>Dicta</t>
  </si>
  <si>
    <t>N° Clase</t>
  </si>
  <si>
    <t>Tema</t>
  </si>
  <si>
    <t>Horas</t>
  </si>
  <si>
    <t>Horas TEO</t>
  </si>
  <si>
    <t>Horas PRA</t>
  </si>
  <si>
    <t>Tema alternativo</t>
  </si>
  <si>
    <t>Introducción. Presentación. Modalidad de cursado. Condiciones de evaluación.</t>
  </si>
  <si>
    <t>18:00-20:00</t>
  </si>
  <si>
    <t>16:00-18:00</t>
  </si>
  <si>
    <t>B</t>
  </si>
  <si>
    <t>TODOS</t>
  </si>
  <si>
    <t>R</t>
  </si>
  <si>
    <t>U1. Naturaleza, contexto y enfoque de la HPAE. La metodología de la economía. Teorías y doctrinas económicas. Relación con la política económica. Importancia de la evolución de las ideas y el pensamiento económico. Fronteras</t>
  </si>
  <si>
    <t>-</t>
  </si>
  <si>
    <t>C</t>
  </si>
  <si>
    <t>Introducción y el modelo agroexportador | Qué es la historia económica; hoja de ruta del curso; el punto de partida de 1880; de Roca a Sáenz Peña; Teoría del Bien Primario Exportable</t>
  </si>
  <si>
    <t xml:space="preserve">U2. Pensamiento económico antiguo y medieval. Los griegos. Artistóteles. Feudalismo y escolástica. </t>
  </si>
  <si>
    <t>Introducción y el modelo agroexportador | Qué es la historia económica; hoja de ruta del curso; contexto económico y político pre-1880</t>
  </si>
  <si>
    <t>[PRA] U1. Presentar: 1) motivación; 2) relevancia; 3) aplicaciones (linea temporal, grandes escuelas, fotos de autores, grandes temas, etc)
Periodizaciones y contexto histórico</t>
  </si>
  <si>
    <t>20:00-22:00</t>
  </si>
  <si>
    <t>GAB1</t>
  </si>
  <si>
    <t>SF</t>
  </si>
  <si>
    <t>FERIADO</t>
  </si>
  <si>
    <t>U1. El crecimiento económico (1880–1914) | Factores productivos: Tierra, población, capital;  ferrocarriles; términos de intercambio; inmigración y PBI</t>
  </si>
  <si>
    <t>U1. Teoría del Bien Primario Exportable | Dotación de factores. Tierra, población, capital.</t>
  </si>
  <si>
    <t xml:space="preserve">Introducción. Presentación. Modalidad de cursado. Condiciones de evaluación. U1. Naturaleza, contexto y enfoque de la HPAE </t>
  </si>
  <si>
    <t>D</t>
  </si>
  <si>
    <r>
      <rPr>
        <rFont val="Montserrat"/>
        <color rgb="FF000000"/>
        <sz val="11.0"/>
      </rPr>
      <t xml:space="preserve">U2. (cont.) Pensamiento económico antiguo y medieval. Los griegos. Artistóteles. Feudalismo </t>
    </r>
    <r>
      <rPr>
        <rFont val="Montserrat"/>
        <strike/>
        <color rgb="FF000000"/>
        <sz val="11.0"/>
      </rPr>
      <t>y escolástica.</t>
    </r>
    <r>
      <rPr>
        <rFont val="Montserrat"/>
        <color rgb="FF000000"/>
        <sz val="11.0"/>
      </rPr>
      <t xml:space="preserve"> </t>
    </r>
  </si>
  <si>
    <t>U2. Pensamiento económico antiguo y medieval. Los griegos. Artistóteles. Feudalismo</t>
  </si>
  <si>
    <t>T</t>
  </si>
  <si>
    <t>U1. Dinero, banca y la Crisis de 1890 | Sistema monetario pre-Caja; Bancos Nacionales Garantidos; cuentas fiscales; Crisis de Baring</t>
  </si>
  <si>
    <t>U1. El impulso del progreso | Políticas de expansión de los factores: capital británico; inmigración; expansión y tenencia de la tierra. Efecto en el crecimiento del PBI</t>
  </si>
  <si>
    <r>
      <rPr>
        <rFont val="Montserrat"/>
        <color rgb="FF000000"/>
        <sz val="11.0"/>
      </rPr>
      <t xml:space="preserve">[PRA]  Escolastica.
Oresme/Santo Tomas. </t>
    </r>
    <r>
      <rPr>
        <rFont val="Montserrat"/>
        <i/>
        <color rgb="FF000000"/>
        <sz val="11.0"/>
      </rPr>
      <t>Precio justo</t>
    </r>
  </si>
  <si>
    <t>U1. La metodología de la economía. Teorías y doctrinas económicas. Relación con la política económica. Importancia de la evolución de las ideas y el pensamiento económico. Fronteras</t>
  </si>
  <si>
    <t>U3. La economía pre-clásica. Estados nacionales y proteccionismo. El mercantilismo. Ley natural. Filosofía política del liberalismo y transición de las ideas</t>
  </si>
  <si>
    <t>FG</t>
  </si>
  <si>
    <t>A</t>
  </si>
  <si>
    <t>ML/FG</t>
  </si>
  <si>
    <t>U1. La Caja de Conversión y el patrón oro | La Caja de Conversión (1899); patrón oro 1900–1913; estabilidad macroeconómica; el trilema</t>
  </si>
  <si>
    <t>U1. Dinero y banca | Bancos Nacionales Garantidos; cuentas fiscales y política monetaria</t>
  </si>
  <si>
    <t>U3 (cont.) Ley natural. Filosofía política del liberalismo y transición de las ideas</t>
  </si>
  <si>
    <t>U3 (cont.). Medición, estadística y el análisis económico: la fisiocracia y Manuel Belgrano</t>
  </si>
  <si>
    <t>ML/FG+Adscr</t>
  </si>
  <si>
    <t>Clase practica que pasaría a ser teorica</t>
  </si>
  <si>
    <t>U2. La Primera Guerra Mundial y el fin de la *belle époque* | Impacto de la 1.ª GM; respuesta de política económica; los últimos años del PAN</t>
  </si>
  <si>
    <t>[PRA] Introducción y presentación. U1. Presentar: 1) motivación; 2) relevancia; 3) aplicaciones (linea temporal, grandes escuelas, fotos de autores, grandes temas, etc)
Periodizaciones y contexto histórico</t>
  </si>
  <si>
    <t>U1. Crisis de Baring y Caja de Conversión | Crisis de 1890; sistema de Caja de Conversión (1899) y su funcionamiento. Rol del BNA</t>
  </si>
  <si>
    <r>
      <rPr>
        <rFont val="Montserrat"/>
        <color rgb="FF000000"/>
        <sz val="11.0"/>
      </rPr>
      <t xml:space="preserve">U4. La economía política: El pensamiento clásico I. Adam Smit sobre precios, trabajo y crecimiento.  </t>
    </r>
    <r>
      <rPr>
        <rFont val="Montserrat"/>
        <strike/>
        <color rgb="FF000000"/>
        <sz val="11.0"/>
      </rPr>
      <t xml:space="preserve">Población y utilidad en Bentham y Malthus. </t>
    </r>
  </si>
  <si>
    <t xml:space="preserve">U4 (cont). La economía ricardiana. Doctrina clásica de la renta. Teoría del valor trabajo. Diferencias entre Smith y Ricardo. </t>
  </si>
  <si>
    <t xml:space="preserve">[PRA] Mujeres clásicas. Población y utilidad en Bentham y Malthus. Primeras teorias monetarias.  </t>
  </si>
  <si>
    <t>U2. Los años veinte y los gobiernos radicales | Cambios en la industria; gobiernos radicales; últimos años del PAN</t>
  </si>
  <si>
    <t>U1. Patrón oro 1900–1913 | Dinámica de la balanza de pagos; estabilidad macroeconómica; el trilema</t>
  </si>
  <si>
    <r>
      <rPr>
        <rFont val="Montserrat"/>
        <color rgb="FF000000"/>
        <sz val="11.0"/>
      </rPr>
      <t xml:space="preserve">U4 (cont). Problema de la población. </t>
    </r>
    <r>
      <rPr>
        <rFont val="Montserrat"/>
        <strike/>
        <color rgb="FF000000"/>
        <sz val="11.0"/>
      </rPr>
      <t>Primeras teorías monetarias.</t>
    </r>
    <r>
      <rPr>
        <rFont val="Montserrat"/>
        <color rgb="FF000000"/>
        <sz val="11.0"/>
      </rPr>
      <t xml:space="preserve"> Jeremy Bentham y la utilidad. John Stuart Mill Contribuciones y transiciónU4 (cont)</t>
    </r>
  </si>
  <si>
    <t>U1-U4. Repaso, preguntas y preguntas tipo</t>
  </si>
  <si>
    <t>[PRA] Teoría del Valor Ricardo y clásicos. Repaso para parcial</t>
  </si>
  <si>
    <t>U2. (cont.) Pensamiento económico antiguo y medieval. Los griegos. Artistóteles. Feudalismo</t>
  </si>
  <si>
    <t xml:space="preserve">U2. (cont.) Pensamiento económico antiguo y medieval. Los griegos. Artistóteles. Feudalismo y escolástica. </t>
  </si>
  <si>
    <t>U2. La Gran Depresión y el giro intervencionista | Década Infame; Pacto Roca-Runciman; creación del BCRA</t>
  </si>
  <si>
    <r>
      <rPr>
        <rFont val="Montserrat"/>
        <strike/>
        <color rgb="FF000000"/>
        <sz val="11.0"/>
      </rPr>
      <t xml:space="preserve">U4 (cont). John Stuart Mill. Contribuciones y transiciónU4 (cont). Problema de la población. Primeras teorías monetarias. Jeremy Bentham y la utilidad. John Stuart Mill </t>
    </r>
    <r>
      <rPr>
        <rFont val="Montserrat"/>
        <b/>
        <strike val="0"/>
        <color rgb="FF000000"/>
        <sz val="11.0"/>
      </rPr>
      <t>PRIMER PARCIAL</t>
    </r>
  </si>
  <si>
    <r>
      <rPr>
        <rFont val="Montserrat"/>
        <color rgb="FF000000"/>
        <sz val="11.0"/>
      </rPr>
      <t xml:space="preserve">U5. La economía política: El pensamiento clásico II. Críticas a la escuela clásica: capitalismo, situación de los trabajadores y economía social. </t>
    </r>
    <r>
      <rPr>
        <rFont val="Montserrat"/>
        <strike/>
        <color rgb="FF000000"/>
        <sz val="11.0"/>
      </rPr>
      <t>Escuelas historicistas, nacionalistas e institucionalistas. Socialismo científico: contexto, origenes y naturaleza</t>
    </r>
  </si>
  <si>
    <r>
      <rPr>
        <rFont val="Montserrat"/>
        <color rgb="FF000000"/>
        <sz val="11.0"/>
      </rPr>
      <t xml:space="preserve">[PRA] Criticas y reacciones a la escuela clasica. Cuadro comparativo: Escuelas historicistas, nacionalistas e institucionalistas. Socialismo científico: contexto, origenes y naturaleza. </t>
    </r>
    <r>
      <rPr>
        <rFont val="Montserrat"/>
        <i/>
        <color rgb="FF000000"/>
        <sz val="11.0"/>
      </rPr>
      <t>Precursores de la escuela marginalista (Von Thunen, Cournot)</t>
    </r>
  </si>
  <si>
    <r>
      <rPr>
        <rFont val="Montserrat"/>
        <color rgb="FF000000"/>
        <sz val="11.0"/>
      </rPr>
      <t xml:space="preserve">U2. </t>
    </r>
    <r>
      <rPr>
        <rFont val="Montserrat"/>
        <color rgb="FFFF0000"/>
        <sz val="11.0"/>
      </rPr>
      <t>Revolucioón del 43</t>
    </r>
    <r>
      <rPr>
        <rFont val="Montserrat"/>
        <color rgb="FF000000"/>
        <sz val="11.0"/>
      </rPr>
      <t>; Segunda Guerra, industrialización y Plan Pinedo | sustitución de importaciones temprana; Plan Pinedo (1940)</t>
    </r>
  </si>
  <si>
    <r>
      <rPr>
        <rFont val="Montserrat"/>
        <color rgb="FF000000"/>
        <sz val="11.0"/>
      </rPr>
      <t xml:space="preserve">[PRA] Lecturas de textos originales. Frases e ideas. Material audivisual y reseñas
Escolástica (Santo Tomás, Oresme, Buridan, Alberto Magno) </t>
    </r>
    <r>
      <rPr>
        <rFont val="Montserrat"/>
        <i/>
        <color rgb="FF000000"/>
        <sz val="11.0"/>
      </rPr>
      <t>Precio justo</t>
    </r>
  </si>
  <si>
    <t>U2. Los años veinte y los gobiernos radicales | Cambios en la industria; gobiernos radicales</t>
  </si>
  <si>
    <r>
      <rPr>
        <rFont val="Montserrat"/>
        <b/>
        <strike/>
        <color rgb="FF000000"/>
        <sz val="11.0"/>
      </rPr>
      <t xml:space="preserve">PRIMER PARCIAL </t>
    </r>
    <r>
      <rPr>
        <rFont val="Montserrat"/>
        <b val="0"/>
        <strike val="0"/>
        <color rgb="FF000000"/>
        <sz val="11.0"/>
      </rPr>
      <t>U5. Socialismo cientifico: el pensamiento y la teoría de Karl Marx</t>
    </r>
  </si>
  <si>
    <t>U3. Peronismo I: ideas y primer plan | Ascenso de Perón; ideas económicas; IAPI; nacionalizaciones; 1.er Plan Quinquenal</t>
  </si>
  <si>
    <t>U5. Socialismo cientifico: el pensamiento y la teoría de Karl Marx (cont.)</t>
  </si>
  <si>
    <t>U2. Avatares del sistema monetario | La adaptación de la Caja en la posguerra; período de autorregulación; retorno de la convertibilidad</t>
  </si>
  <si>
    <r>
      <rPr>
        <rFont val="Montserrat"/>
        <color rgb="FF000000"/>
        <sz val="11.0"/>
      </rPr>
      <t xml:space="preserve">U3. Peronismo I: </t>
    </r>
    <r>
      <rPr>
        <rFont val="Montserrat"/>
        <color rgb="FFFF0000"/>
        <sz val="11.0"/>
      </rPr>
      <t>Sistema de nacionalización de depósitos;</t>
    </r>
  </si>
  <si>
    <r>
      <rPr>
        <rFont val="Montserrat"/>
        <color rgb="FF000000"/>
        <sz val="11.0"/>
      </rPr>
      <t xml:space="preserve">U3. Peronismo II: </t>
    </r>
    <r>
      <rPr>
        <rFont val="Montserrat"/>
        <color rgb="FFFF0000"/>
        <sz val="11.0"/>
      </rPr>
      <t>Crisis del 49</t>
    </r>
    <r>
      <rPr>
        <rFont val="Montserrat"/>
        <color rgb="FF000000"/>
        <sz val="11.0"/>
      </rPr>
      <t>, estrangulamiento externo e inflación | El "Stop and Go"; presiones inflacionarias</t>
    </r>
  </si>
  <si>
    <r>
      <rPr>
        <rFont val="Montserrat"/>
        <color rgb="FF000000"/>
        <sz val="11.0"/>
      </rPr>
      <t xml:space="preserve">U6. La escuela neoclásica: la revolución marginalista. El análisis microeconómico: Francia, Austria e Inglaterra. El cambio en el paradigma teórico Jevons y la utilidad marginal. </t>
    </r>
    <r>
      <rPr>
        <rFont val="Montserrat"/>
        <strike/>
        <color rgb="FF000000"/>
        <sz val="11.0"/>
      </rPr>
      <t xml:space="preserve">La escuela austríaca: Menger y discipulos. </t>
    </r>
  </si>
  <si>
    <r>
      <rPr>
        <rFont val="Montserrat"/>
        <color rgb="FF000000"/>
        <sz val="11.0"/>
      </rPr>
      <t xml:space="preserve">U2. Segunda Guerra, industrialización y Plan Pinedo | sustitución de importaciones temprana; Plan Pinedo (1940) </t>
    </r>
    <r>
      <rPr>
        <rFont val="Montserrat"/>
        <color rgb="FFFF0000"/>
        <sz val="11.0"/>
      </rPr>
      <t>HASTA ACA PRIMER PARCIAL</t>
    </r>
  </si>
  <si>
    <t>U6 (cont.) La escuela austríaca: Menger y discipulos. Walras y el equilibrio general. Alfred Marshal y los principios de la economía moderna</t>
  </si>
  <si>
    <t>[PRA] Lecturas de textos originales. Marx</t>
  </si>
  <si>
    <r>
      <rPr>
        <rFont val="Montserrat"/>
        <color rgb="FF000000"/>
        <sz val="11.0"/>
      </rPr>
      <t xml:space="preserve">U3. Peronismo III: el giro de 1952–1955 | Cambio de política económica; segundo gobierno; </t>
    </r>
    <r>
      <rPr>
        <rFont val="Montserrat"/>
        <color rgb="FFFF0000"/>
        <sz val="11.0"/>
      </rPr>
      <t>programas de estabilización</t>
    </r>
  </si>
  <si>
    <t>[PRA] Medición, estadística y el análisis económico. La fisiocracia: ideas filosóficas, ideas económicas de Quesnay y discipulos (Turgot, Boisguillebert), Tableau Economique. Apuntes sobre las ideas de la fisocracia en América Latina: Manuel Belgrano</t>
  </si>
  <si>
    <t>U3. La economía política del peronismo</t>
  </si>
  <si>
    <t>U3. Peronismo I: ISI e ingresos | Estrategia inndustrializadores y desarrollo económico; distribución del ingreso</t>
  </si>
  <si>
    <r>
      <rPr>
        <rFont val="Montserrat"/>
        <color rgb="FF000000"/>
        <sz val="11.0"/>
      </rPr>
      <t xml:space="preserve">U6 (cont.) </t>
    </r>
    <r>
      <rPr>
        <rFont val="Montserrat"/>
        <strike/>
        <color rgb="FF000000"/>
        <sz val="11.0"/>
      </rPr>
      <t>Walras y el equilibrio general.</t>
    </r>
    <r>
      <rPr>
        <rFont val="Montserrat"/>
        <color rgb="FF000000"/>
        <sz val="11.0"/>
      </rPr>
      <t xml:space="preserve"> Alfred Marshal y los principios de la economía moderna</t>
    </r>
  </si>
  <si>
    <t>[PRA] Lecturas de textos originales. Frases e ideas. Material audivisual y reseñas
Oresme/Santo Tomas</t>
  </si>
  <si>
    <t>U7. Las reacciones en el siglo XX: críticas al método y a los supuestos.</t>
  </si>
  <si>
    <t>Repaso parcial</t>
  </si>
  <si>
    <t>Repaso Primer Parciañ</t>
  </si>
  <si>
    <t>[PRA]  Austríacos. Teoria del valor y la imputacion y tasa de interes</t>
  </si>
  <si>
    <t>U8. El nacimiento de la macroeconomía: Keynes y la teoría general. Principales elementos del pensamiento keyesiano. Teoría y política económica</t>
  </si>
  <si>
    <t xml:space="preserve">U4. La economía política: El pensamiento clásico I. Adam Smit sobre precios, trabajo y crecimiento. </t>
  </si>
  <si>
    <t>U8. (cont). El modelo y las fluctuaciones. Rigideces nominales. Influencia y legado de Keynes</t>
  </si>
  <si>
    <t>PRIMER PARCIAL (UNIDADES 1 A 3)</t>
  </si>
  <si>
    <t xml:space="preserve">[PRA] Lionel Robbins </t>
  </si>
  <si>
    <t>U9. La renovación teórica en el período interguerras. Escuela austríaca del siglo XX: Mises y Hayek</t>
  </si>
  <si>
    <t>U5-U8. Repaso.</t>
  </si>
  <si>
    <t>U4. La Revolución Libertadora y el Plan Prebisch | Plan Prebisch; ortodoxia de posguerra</t>
  </si>
  <si>
    <t>U3. Peronismo I: Sistema de nacionalización de depósitos;</t>
  </si>
  <si>
    <t>[PRA] Repaso. Keynes + Teoria del dinero</t>
  </si>
  <si>
    <t>SEGUNDO PARCIAL</t>
  </si>
  <si>
    <t>U4. Frondizi, el desarrollismo y Guido | Estrategia desarrollista; programa 1959–63 (FMI); crisis de 1962–63</t>
  </si>
  <si>
    <t>U3. Peronismo II: Crisis del 49, estrangulamiento externo e inflación | El "Stop and Go"; presiones inflacionarias</t>
  </si>
  <si>
    <r>
      <rPr>
        <rFont val="Montserrat"/>
        <color rgb="FF000000"/>
        <sz val="11.0"/>
      </rPr>
      <t xml:space="preserve">U9. (cont). Debate Keynes vs Hayek. El monetarismo y la escuela clásica. </t>
    </r>
    <r>
      <rPr>
        <rFont val="Montserrat"/>
        <strike/>
        <color rgb="FF000000"/>
        <sz val="11.0"/>
      </rPr>
      <t>U10. Las tendencias recientes en los últimos 50 años</t>
    </r>
  </si>
  <si>
    <t>[PRA] Lecturas de textos originales. Frases e ideas. Material audiovisual y reseñas. Belgrano, Moreno, Vieytes</t>
  </si>
  <si>
    <t>SEMANA EXÁMENES</t>
  </si>
  <si>
    <r>
      <rPr>
        <rFont val="Montserrat"/>
        <color rgb="FF000000"/>
        <sz val="11.0"/>
      </rPr>
      <t xml:space="preserve">U9.  Escuelas regionales: el estructuralismo latinoamericano Prebisch y Olivera. </t>
    </r>
    <r>
      <rPr>
        <rFont val="Montserrat"/>
        <i/>
        <color rgb="FF000000"/>
        <sz val="11.0"/>
      </rPr>
      <t>Críticas al esquema de comercio internacional: Robinson y Chamberlin</t>
    </r>
  </si>
  <si>
    <t>U10. Las tendencias recientes en los últimos 50 años</t>
  </si>
  <si>
    <t xml:space="preserve">U10. Nueva economía institucional. Revolución de la credibilidad. </t>
  </si>
  <si>
    <t>[PRA] Mujeres clásicas. Teoría de la población en Malthus. La doctrina de utilidad en Bentham</t>
  </si>
  <si>
    <t>PARCIAL RECUPERATORIO</t>
  </si>
  <si>
    <t>U3 (cont.). Medición, estadística y el análisis económico: la fisiocracia</t>
  </si>
  <si>
    <t>TOTAL HS</t>
  </si>
  <si>
    <t>U4 (cont). Primeras teorías monetarias de la escuela clásica inglesa. John Stuart Mill: filosofía, pensamiento económico y social y contribuciones</t>
  </si>
  <si>
    <t xml:space="preserve">U4. La economía política: El pensamiento clásico I. Adam Smit sobre precios, trabajo y crecimiento. Población y utilidad en Bentham y Malthus. </t>
  </si>
  <si>
    <t>U4. Los programas de estabilización del FMI (Eshag y Thorp)</t>
  </si>
  <si>
    <t>U3. Peronismo III: el giro de 1952–1955 | Cambio de política económica; segundo gobierno; programas de estabilización</t>
  </si>
  <si>
    <t>U4 (cont). John Stuart Mill: filosofía, pensamiento económico y social y contribuciones. REPASO</t>
  </si>
  <si>
    <t>U5. Illia y el crecimiento | Gobierno de Illia; el crecimiento de la década</t>
  </si>
  <si>
    <t>U4. La Revolución Libertadora y el Plan Prebisch | Plan Prebisch; ortodoxia de posguerra; liberalización de los mercados</t>
  </si>
  <si>
    <t xml:space="preserve">[PRA] Lecturas de textos originales. Frases e ideas. Material audiovisual y reseñas. Jane Marcet,  Harriet Martineau, Millicent
Garrett Fawcett y  Harriet Taylor. </t>
  </si>
  <si>
    <t>U5. La Revolución Argentina y Krieger Vasena | Gobierno de Onganía; plan Krieger Vasena; precios relativos y distribución</t>
  </si>
  <si>
    <t>[PRA] Lecturas de textos originales. Clase de Franco de teoría de valor.  REPASO</t>
  </si>
  <si>
    <t>U4. Frondizi y el desarrollismo| Estrategia desarrollista; programa 1959–63 (FMI); crisis de 1962–63</t>
  </si>
  <si>
    <t>U6. La vuelta del peronismo y el Rodrigazo | Trienio peronista; plan antiinflacionario 1973–75; Rodrigazo</t>
  </si>
  <si>
    <t>PRIMER PARCIAL</t>
  </si>
  <si>
    <t>U6. El Proceso: reforma financiera y deuda | Gobierno militar; reforma financiera de 1977; apertura; crisis de la deuda</t>
  </si>
  <si>
    <t>U4. El gobierno de Guido y la crisis | Desestabilización política y económica; estrangulamiento externo; fin de la etapa desarrollista: bases para el crecimiento</t>
  </si>
  <si>
    <t>U4 (cont). Problema de la población. Primeras teorías monetarias. Jeremy Bentham y la utilidad. John Stuart Mill</t>
  </si>
  <si>
    <r>
      <rPr>
        <rFont val="Montserrat"/>
        <color rgb="FF000000"/>
        <sz val="11.0"/>
      </rPr>
      <t xml:space="preserve">U6. El Proceso: </t>
    </r>
    <r>
      <rPr>
        <rFont val="Montserrat"/>
        <color rgb="FFFF0000"/>
        <sz val="11.0"/>
      </rPr>
      <t>programas de estabilización; tablita</t>
    </r>
  </si>
  <si>
    <t>U5. Illia y el crecimiento | Gobierno de Illia; el crecimiento de la década; abandono de una política antiinflacionaria</t>
  </si>
  <si>
    <t>U5. La economía política: El pensamiento clásico II. Críticas a la escuela clásica: capitalismo, situación de los trabajadores y economía social. Escuelas historicistas, nacionalistas e institucionalistas. Socialismo científico: contexto, origenes y naturaleza</t>
  </si>
  <si>
    <t>U6. Alfonsín, el Plan Austral y la hiperinflación | Radicalismo; programas 1985–88; hiperinflación de 1989</t>
  </si>
  <si>
    <t>[PRA] Lecturas de textos originales. Frases e ideas. Ricardo y clásicos Repaso para parcial</t>
  </si>
  <si>
    <t>U7. Menem: reformas estructurales, reforma financiera</t>
  </si>
  <si>
    <t>U6. La vuelta del peronismo | Trienio peronista, retorno de políticas de control; nacionalización de depósitos, deferencia con 1946</t>
  </si>
  <si>
    <t xml:space="preserve">[PRA] Criticas y reacciones a la escuela clasica. Cuadro comparativo: Escuelas historicistas, nacionalistas e institucionalistas. </t>
  </si>
  <si>
    <t>U6. Pacto Social | Analisis de la estrategia de estabilización de 1973-75. Rodrigazo</t>
  </si>
  <si>
    <t>U5. Socialismo cientifico: el pensamiento y la teoría de Karl Marx</t>
  </si>
  <si>
    <t>U6. El Proceso: reforma financiera y apertura comercial | reforma financiera de 1977; apertura</t>
  </si>
  <si>
    <t>Repaso Segundo Parcial</t>
  </si>
  <si>
    <t>[PRA] Criticas y reacciones a la escuela clasica. Cuadro comparativo</t>
  </si>
  <si>
    <t>SEGUNDO PARCIAL (UNIDADES 4 A 7)</t>
  </si>
  <si>
    <t>U6. El Proceso: programas de estabilización; tablita y crisis de deuda</t>
  </si>
  <si>
    <t>U6. Alfonsín | Medidas de los primeros 15 meses. Problema de deuda externa</t>
  </si>
  <si>
    <t>FC</t>
  </si>
  <si>
    <t>U6. Plan Austral e hiperinflación | Medidas iniciales, ataque al déficit, fracaso</t>
  </si>
  <si>
    <t>U6. La escuela neoclásica: la revolución marginalista. El análisis microeconómico: Francia, Austria e Inglaterra. El cambio en el paradigma teórico Jevons y la utilidad marginal.</t>
  </si>
  <si>
    <t>U7. Menem: Convertibilidad y CO del BCRA</t>
  </si>
  <si>
    <t>U6 (cont.)  El cambio en el paradigma teórico y la utilidad marginal</t>
  </si>
  <si>
    <t>Clase relleno o ajuste</t>
  </si>
  <si>
    <t>Repaso recuperatorio</t>
  </si>
  <si>
    <t>[PRA] Lecturas de textos originales. Socialismo científico: contexto, origenes y naturaleza. Precursores de la escuela marginalista (Von Thunen, Cournot) Marx (Teórico de apoyo sobre Marx)</t>
  </si>
  <si>
    <t xml:space="preserve">U6. La escuela neoclásica: la revolución marginalista. El análisis microeconómico: Francia, Austria e Inglaterra. El cambio en el paradigma teórico Jevons y la utilidad marginal. La escuela austríaca: Menger y discipulos. </t>
  </si>
  <si>
    <t>U6 (cont.) Walras y el equilibrio general. Alfred Marshal y los principios de la economía moderna</t>
  </si>
  <si>
    <t xml:space="preserve">U6 (cont.) Alfred Marshal y los principios de la economía moderna. </t>
  </si>
  <si>
    <t>[PRA] Lecturas de textos originales. Frases e ideas. Material audiovisual y reseñas.  Austríacos. Teoria de la imputacion y tasa de interes</t>
  </si>
  <si>
    <t>U6 (cont.)  Walras y el equilibrio general. Contraste Marshall-Walras</t>
  </si>
  <si>
    <t>SF (VIRTUAL)</t>
  </si>
  <si>
    <t>[PRA] Lecturas de textos originales. Frases e ideas. Material audiovisual y reseñas.  Austríacos. Teoria del valor y la imputacion y tasa de interes</t>
  </si>
  <si>
    <t>SF (NO SE DICTA - SE GRABA VIDEO)</t>
  </si>
  <si>
    <t xml:space="preserve">[PRA] Lecturas de textos originales. Frases e ideas. Material audiovisual y reseñas.  Robbins </t>
  </si>
  <si>
    <t>U8 (cont.). El nacimiento de la macroeconomía: Keynes y la teoría general. Principales elementos del pensamiento keyesiano. Teoría y política económica</t>
  </si>
  <si>
    <t>20:00 a 22:00</t>
  </si>
  <si>
    <t>[PRA] Lecturas de textos originales. Frases e ideas. Material audiovisual y reseñas.  Keynes + Teoria del dinero</t>
  </si>
  <si>
    <t>U9. La renovación teórica en el período interguerras. Escuela austríaca del siglo XX: Mises y Hayek. El monetarismo y la nueva escuela clásica</t>
  </si>
  <si>
    <t>ML</t>
  </si>
  <si>
    <t>[PRA] Introducción y presentación. U1. Presentar: 1) motivación; 2) relevancia; 3) aplicaciones (linea temporal, grandes escuelas, fotos de autores, grandes temas, etc)
PERIODIZACIONES Y CONTEXTO HISTORICO</t>
  </si>
  <si>
    <t>U9.  Escuelas regionales: el estructuralismo latinoamericano Prebisch y Olivera</t>
  </si>
  <si>
    <t>U9 (cont.). La síntesis neoclásica. La crítica de Lucas y la revolución de las expectativas racionales. Ciclo económico real</t>
  </si>
  <si>
    <t>U9. (cont). Debate Keynes vs Hayek. El monetarismo y la escuela clásica. U10. Las tendencias recientes en los últimos 50 años</t>
  </si>
  <si>
    <r>
      <rPr>
        <rFont val="Montserrat"/>
        <color rgb="FF000000"/>
        <sz val="11.0"/>
      </rPr>
      <t xml:space="preserve">U9 (cont.).  Escuelas regionales: el estructuralismo latinoamericano Prebisch y Olivera. </t>
    </r>
    <r>
      <rPr>
        <rFont val="Montserrat"/>
        <i/>
        <color rgb="FF000000"/>
        <sz val="11.0"/>
      </rPr>
      <t>Críticas al esquema de comercio internacional: Robinson.</t>
    </r>
  </si>
  <si>
    <t xml:space="preserve">[PRA] Sintesis y cronología de las ideas y pensadores económicos. Material adicional: video, lectura, infografía
PERIODIZACIÓN DE LA HPE y los hombres en la economía. </t>
  </si>
  <si>
    <t>U10. Nueva economía institucional. Derechos de propiedad e instituciones. La nueva economía política</t>
  </si>
  <si>
    <t xml:space="preserve">U10 (cont.). La revolución de la credibilidad. Diseño de investigación y métodos experimentales. La economía del comportamiento. El economista como plomero. </t>
  </si>
  <si>
    <t>FERIADO: JUEVES SANTO</t>
  </si>
  <si>
    <t>[PRA] Lecturas de textos originales. Frases e ideas. Material audiovisual y reseñas. Belgrano y Marcet</t>
  </si>
  <si>
    <t>U4 (cont). Malthus y la teoría de la población. Bentham y el utilitarismo</t>
  </si>
  <si>
    <r>
      <rPr>
        <rFont val="Montserrat"/>
        <color rgb="FFCC0000"/>
        <sz val="11.0"/>
      </rPr>
      <t xml:space="preserve">[PRA] Lecturas de textos originales. Frases e ideas. Material audiovisual y reseñas. Harriet Taylor </t>
    </r>
    <r>
      <rPr>
        <rFont val="Montserrat"/>
        <b/>
        <color rgb="FFCC0000"/>
        <sz val="11.0"/>
      </rPr>
      <t>Repaso para parcial</t>
    </r>
  </si>
  <si>
    <t>U4 (cont.). El pensamiento económico-social de John Stuart Mill. Teoría y política económica</t>
  </si>
  <si>
    <t>FERIADO: 01 DE MAYO</t>
  </si>
  <si>
    <t>[PRA] Lecturas de textos originales. Frases e ideas. Material audiovisual y reseñas.  Austríacos</t>
  </si>
  <si>
    <t>SEMANA DE MAYO</t>
  </si>
  <si>
    <t>VIAJE MELI</t>
  </si>
  <si>
    <t>U7 (cont.) Repaso</t>
  </si>
  <si>
    <t>[PRA] Lecturas de textos originales. Frases e ideas. Material audiovisual y reseñas.  Robbins + Olivera</t>
  </si>
  <si>
    <t>U8. El nacimiento de la macroeconomía: Keynes y la teoría general.</t>
  </si>
  <si>
    <t>[PRA] Lecturas de textos originales. Frases e ideas. Material audiovisual y reseñas.  Keybnes + Estructuralistas</t>
  </si>
  <si>
    <t>U8 (cont.). U9. La renovación teórica desde el período interguerras.</t>
  </si>
  <si>
    <t>U9 (cont.). Vuelo de pájaro sobre U10</t>
  </si>
  <si>
    <t>RECUPERATORIO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</si>
</sst>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"/>
    <numFmt numFmtId="165" formatCode="M/d/yyyy"/>
    <numFmt numFmtId="166" formatCode="dd/mm/yyyy"/>
  </numFmts>
  <fonts count="26">
    <font>
      <sz val="10.0"/>
      <color rgb="FF000000"/>
      <name val="Arial"/>
      <scheme val="minor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sz val="10.0"/>
      <color rgb="FFFFFFFF"/>
      <name val="Montserrat"/>
    </font>
    <font>
      <sz val="11.0"/>
      <color rgb="FF000000"/>
      <name val="Montserrat"/>
    </font>
    <font>
      <color rgb="FF000000"/>
      <name val="Arial"/>
    </font>
    <font>
      <sz val="10.0"/>
      <color rgb="FF000000"/>
      <name val="Montserrat"/>
    </font>
    <font>
      <sz val="11.0"/>
      <color rgb="FFFF0000"/>
      <name val="Montserrat"/>
    </font>
    <font>
      <sz val="11.0"/>
      <color rgb="FF434343"/>
      <name val="Montserrat"/>
    </font>
    <font>
      <color theme="1"/>
      <name val="Arial"/>
      <scheme val="minor"/>
    </font>
    <font>
      <b/>
      <sz val="11.0"/>
      <color rgb="FFFF0000"/>
      <name val="Montserrat"/>
    </font>
    <font>
      <sz val="10.0"/>
      <color rgb="FFFF0000"/>
      <name val="Montserrat"/>
    </font>
    <font>
      <strike/>
      <sz val="11.0"/>
      <color rgb="FF000000"/>
      <name val="Montserrat"/>
    </font>
    <font>
      <b/>
      <strike/>
      <sz val="11.0"/>
      <color rgb="FF000000"/>
      <name val="Montserrat"/>
    </font>
    <font>
      <strike/>
      <color rgb="FF000000"/>
      <name val="Arial"/>
    </font>
    <font>
      <color rgb="FFFF0000"/>
      <name val="Arial"/>
    </font>
    <font>
      <b/>
      <sz val="10.0"/>
      <color rgb="FF000000"/>
      <name val="Montserrat"/>
    </font>
    <font>
      <b/>
      <color rgb="FF000000"/>
      <name val="Arial"/>
    </font>
    <font>
      <b/>
      <sz val="11.0"/>
      <color theme="1"/>
      <name val="Montserrat"/>
    </font>
    <font>
      <b/>
      <sz val="10.0"/>
      <color theme="1"/>
      <name val="Montserrat"/>
    </font>
    <font>
      <sz val="10.0"/>
      <color rgb="FF000000"/>
      <name val="Arial"/>
    </font>
    <font>
      <sz val="11.0"/>
      <color rgb="FFB7B7B7"/>
      <name val="Montserrat"/>
    </font>
    <font>
      <sz val="11.0"/>
      <color rgb="FF999999"/>
      <name val="Montserrat"/>
    </font>
    <font>
      <sz val="11.0"/>
      <color rgb="FFCC0000"/>
      <name val="Montserrat"/>
    </font>
    <font>
      <color rgb="FF999999"/>
      <name val="Arial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23">
    <border/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right style="double">
        <color rgb="FF000000"/>
      </right>
      <bottom style="hair">
        <color rgb="FF000000"/>
      </bottom>
    </border>
    <border>
      <left style="double">
        <color rgb="FF000000"/>
      </left>
      <right style="double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double">
        <color rgb="FF000000"/>
      </right>
      <top style="hair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2" fontId="2" numFmtId="164" xfId="0" applyAlignment="1" applyBorder="1" applyFill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5" fillId="3" fontId="4" numFmtId="165" xfId="0" applyAlignment="1" applyBorder="1" applyFill="1" applyFont="1" applyNumberFormat="1">
      <alignment horizontal="center" readingOrder="0" vertical="bottom"/>
    </xf>
    <xf borderId="0" fillId="0" fontId="5" numFmtId="0" xfId="0" applyAlignment="1" applyFont="1">
      <alignment vertical="center"/>
    </xf>
    <xf borderId="0" fillId="0" fontId="5" numFmtId="0" xfId="0" applyAlignment="1" applyFont="1">
      <alignment vertical="bottom"/>
    </xf>
    <xf borderId="6" fillId="2" fontId="2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7" fillId="3" fontId="1" numFmtId="164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bottom"/>
    </xf>
    <xf borderId="5" fillId="3" fontId="4" numFmtId="14" xfId="0" applyAlignment="1" applyBorder="1" applyFont="1" applyNumberFormat="1">
      <alignment horizontal="center" readingOrder="0" vertical="bottom"/>
    </xf>
    <xf borderId="8" fillId="3" fontId="4" numFmtId="0" xfId="0" applyAlignment="1" applyBorder="1" applyFont="1">
      <alignment readingOrder="0" shrinkToFit="0" vertical="bottom" wrapText="1"/>
    </xf>
    <xf borderId="9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bottom"/>
    </xf>
    <xf borderId="10" fillId="3" fontId="4" numFmtId="0" xfId="0" applyAlignment="1" applyBorder="1" applyFont="1">
      <alignment horizontal="center" readingOrder="0" vertical="center"/>
    </xf>
    <xf borderId="9" fillId="3" fontId="6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bottom" wrapText="1"/>
    </xf>
    <xf borderId="5" fillId="0" fontId="4" numFmtId="165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shrinkToFit="0" vertical="bottom" wrapText="1"/>
    </xf>
    <xf borderId="9" fillId="3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bottom"/>
    </xf>
    <xf borderId="11" fillId="3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bottom" wrapText="1"/>
    </xf>
    <xf borderId="0" fillId="3" fontId="4" numFmtId="0" xfId="0" applyAlignment="1" applyFont="1">
      <alignment readingOrder="0" shrinkToFit="0" vertical="center" wrapText="1"/>
    </xf>
    <xf borderId="5" fillId="4" fontId="4" numFmtId="165" xfId="0" applyAlignment="1" applyBorder="1" applyFill="1" applyFont="1" applyNumberFormat="1">
      <alignment horizontal="center" readingOrder="0" vertical="bottom"/>
    </xf>
    <xf borderId="12" fillId="3" fontId="1" numFmtId="164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vertical="bottom"/>
    </xf>
    <xf borderId="13" fillId="3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readingOrder="0" shrinkToFit="0" vertical="bottom" wrapText="1"/>
    </xf>
    <xf borderId="14" fillId="3" fontId="4" numFmtId="0" xfId="0" applyAlignment="1" applyBorder="1" applyFont="1">
      <alignment horizontal="center" readingOrder="0" vertical="center"/>
    </xf>
    <xf borderId="5" fillId="5" fontId="7" numFmtId="165" xfId="0" applyAlignment="1" applyBorder="1" applyFill="1" applyFont="1" applyNumberFormat="1">
      <alignment horizontal="center" readingOrder="0" vertical="bottom"/>
    </xf>
    <xf borderId="13" fillId="3" fontId="6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vertical="bottom"/>
    </xf>
    <xf borderId="1" fillId="5" fontId="7" numFmtId="0" xfId="0" applyAlignment="1" applyBorder="1" applyFont="1">
      <alignment readingOrder="0" shrinkToFit="0" vertical="bottom" wrapText="1"/>
    </xf>
    <xf borderId="13" fillId="3" fontId="6" numFmtId="0" xfId="0" applyAlignment="1" applyBorder="1" applyFont="1">
      <alignment horizontal="center" readingOrder="0" shrinkToFit="0" vertical="center" wrapText="1"/>
    </xf>
    <xf borderId="15" fillId="0" fontId="1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bottom"/>
    </xf>
    <xf borderId="16" fillId="0" fontId="4" numFmtId="0" xfId="0" applyAlignment="1" applyBorder="1" applyFont="1">
      <alignment horizontal="center" vertical="center"/>
    </xf>
    <xf borderId="5" fillId="0" fontId="4" numFmtId="14" xfId="0" applyAlignment="1" applyBorder="1" applyFont="1" applyNumberFormat="1">
      <alignment horizontal="center" readingOrder="0" vertical="bottom"/>
    </xf>
    <xf borderId="1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bottom" wrapText="1"/>
    </xf>
    <xf borderId="16" fillId="0" fontId="6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bottom" wrapText="1"/>
    </xf>
    <xf borderId="18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9" fillId="3" fontId="4" numFmtId="165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vertical="bottom"/>
    </xf>
    <xf borderId="5" fillId="0" fontId="8" numFmtId="165" xfId="0" applyAlignment="1" applyBorder="1" applyFont="1" applyNumberFormat="1">
      <alignment horizontal="center" readingOrder="0" vertical="bottom"/>
    </xf>
    <xf borderId="5" fillId="4" fontId="4" numFmtId="14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horizontal="center" readingOrder="0" shrinkToFit="0" vertical="bottom" wrapText="1"/>
    </xf>
    <xf borderId="13" fillId="0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shrinkToFit="0" vertical="bottom" wrapText="1"/>
    </xf>
    <xf borderId="1" fillId="4" fontId="4" numFmtId="0" xfId="0" applyAlignment="1" applyBorder="1" applyFont="1">
      <alignment horizontal="left" readingOrder="0" shrinkToFit="0" vertical="bottom" wrapText="1"/>
    </xf>
    <xf borderId="13" fillId="0" fontId="6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13" fillId="0" fontId="6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horizontal="center" readingOrder="0" vertical="bottom"/>
    </xf>
    <xf borderId="16" fillId="0" fontId="6" numFmtId="0" xfId="0" applyAlignment="1" applyBorder="1" applyFont="1">
      <alignment horizontal="center" readingOrder="0" shrinkToFit="0" vertical="center" wrapText="1"/>
    </xf>
    <xf borderId="5" fillId="0" fontId="4" numFmtId="166" xfId="0" applyAlignment="1" applyBorder="1" applyFont="1" applyNumberFormat="1">
      <alignment horizontal="center" readingOrder="0" vertical="bottom"/>
    </xf>
    <xf borderId="1" fillId="5" fontId="7" numFmtId="0" xfId="0" applyAlignment="1" applyBorder="1" applyFont="1">
      <alignment horizontal="center" readingOrder="0" shrinkToFit="0" vertical="bottom" wrapText="1"/>
    </xf>
    <xf borderId="1" fillId="4" fontId="4" numFmtId="0" xfId="0" applyAlignment="1" applyBorder="1" applyFont="1">
      <alignment horizontal="left" shrinkToFit="0" vertical="bottom" wrapText="1"/>
    </xf>
    <xf borderId="18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9" fillId="5" fontId="10" numFmtId="164" xfId="0" applyAlignment="1" applyBorder="1" applyFont="1" applyNumberFormat="1">
      <alignment horizontal="center" readingOrder="0" vertical="center"/>
    </xf>
    <xf borderId="9" fillId="5" fontId="7" numFmtId="0" xfId="0" applyAlignment="1" applyBorder="1" applyFont="1">
      <alignment horizontal="center" vertical="center"/>
    </xf>
    <xf borderId="10" fillId="5" fontId="7" numFmtId="0" xfId="0" applyAlignment="1" applyBorder="1" applyFont="1">
      <alignment horizontal="center" readingOrder="0" vertical="center"/>
    </xf>
    <xf borderId="9" fillId="5" fontId="11" numFmtId="0" xfId="0" applyAlignment="1" applyBorder="1" applyFont="1">
      <alignment horizontal="center" readingOrder="0" vertical="center"/>
    </xf>
    <xf borderId="9" fillId="5" fontId="11" numFmtId="0" xfId="0" applyAlignment="1" applyBorder="1" applyFont="1">
      <alignment horizontal="center" readingOrder="0" shrinkToFit="0" vertical="center" wrapText="1"/>
    </xf>
    <xf borderId="11" fillId="5" fontId="10" numFmtId="0" xfId="0" applyAlignment="1" applyBorder="1" applyFont="1">
      <alignment readingOrder="0" shrinkToFit="0" vertical="center" wrapText="1"/>
    </xf>
    <xf borderId="0" fillId="5" fontId="10" numFmtId="0" xfId="0" applyAlignment="1" applyFont="1">
      <alignment readingOrder="0" shrinkToFit="0" vertical="center" wrapText="1"/>
    </xf>
    <xf borderId="13" fillId="0" fontId="1" numFmtId="164" xfId="0" applyAlignment="1" applyBorder="1" applyFont="1" applyNumberFormat="1">
      <alignment horizontal="center" readingOrder="0" vertical="center"/>
    </xf>
    <xf borderId="5" fillId="6" fontId="4" numFmtId="165" xfId="0" applyAlignment="1" applyBorder="1" applyFill="1" applyFont="1" applyNumberFormat="1">
      <alignment horizontal="center" readingOrder="0" vertical="bottom"/>
    </xf>
    <xf borderId="14" fillId="0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readingOrder="0" shrinkToFit="0" vertical="center" wrapText="1"/>
    </xf>
    <xf borderId="1" fillId="6" fontId="12" numFmtId="0" xfId="0" applyAlignment="1" applyBorder="1" applyFont="1">
      <alignment readingOrder="0" shrinkToFit="0" vertical="bottom" wrapText="1"/>
    </xf>
    <xf borderId="5" fillId="4" fontId="7" numFmtId="14" xfId="0" applyAlignment="1" applyBorder="1" applyFont="1" applyNumberFormat="1">
      <alignment horizontal="center" readingOrder="0" vertical="bottom"/>
    </xf>
    <xf borderId="1" fillId="4" fontId="7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readingOrder="0" vertical="bottom"/>
    </xf>
    <xf borderId="5" fillId="6" fontId="1" numFmtId="165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center" wrapText="1"/>
    </xf>
    <xf borderId="9" fillId="0" fontId="4" numFmtId="0" xfId="0" applyAlignment="1" applyBorder="1" applyFont="1">
      <alignment horizontal="center" vertical="center"/>
    </xf>
    <xf borderId="1" fillId="4" fontId="7" numFmtId="0" xfId="0" applyAlignment="1" applyBorder="1" applyFont="1">
      <alignment readingOrder="0" shrinkToFit="0" vertical="bottom" wrapText="1"/>
    </xf>
    <xf borderId="1" fillId="6" fontId="13" numFmtId="0" xfId="0" applyAlignment="1" applyBorder="1" applyFont="1">
      <alignment readingOrder="0" shrinkToFit="0" vertical="bottom" wrapText="1"/>
    </xf>
    <xf borderId="9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readingOrder="0" shrinkToFit="0" vertical="center" wrapText="1"/>
    </xf>
    <xf borderId="5" fillId="0" fontId="7" numFmtId="14" xfId="0" applyAlignment="1" applyBorder="1" applyFont="1" applyNumberFormat="1">
      <alignment horizontal="center" readingOrder="0" vertical="bottom"/>
    </xf>
    <xf borderId="13" fillId="0" fontId="4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center" wrapText="1"/>
    </xf>
    <xf borderId="1" fillId="7" fontId="4" numFmtId="0" xfId="0" applyAlignment="1" applyBorder="1" applyFill="1" applyFont="1">
      <alignment readingOrder="0" shrinkToFit="0" vertical="bottom" wrapText="1"/>
    </xf>
    <xf borderId="0" fillId="0" fontId="14" numFmtId="0" xfId="0" applyAlignment="1" applyFont="1">
      <alignment readingOrder="0" vertical="center"/>
    </xf>
    <xf borderId="16" fillId="0" fontId="4" numFmtId="0" xfId="0" applyAlignment="1" applyBorder="1" applyFont="1">
      <alignment horizontal="center" readingOrder="0" shrinkToFit="0" vertical="center" wrapText="1"/>
    </xf>
    <xf borderId="7" fillId="6" fontId="1" numFmtId="164" xfId="0" applyAlignment="1" applyBorder="1" applyFont="1" applyNumberFormat="1">
      <alignment horizontal="center" readingOrder="0" vertical="center"/>
    </xf>
    <xf borderId="9" fillId="6" fontId="1" numFmtId="0" xfId="0" applyAlignment="1" applyBorder="1" applyFont="1">
      <alignment horizontal="center" vertical="center"/>
    </xf>
    <xf borderId="10" fillId="6" fontId="1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bottom"/>
    </xf>
    <xf borderId="9" fillId="6" fontId="16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center"/>
    </xf>
    <xf borderId="9" fillId="6" fontId="16" numFmtId="0" xfId="0" applyAlignment="1" applyBorder="1" applyFont="1">
      <alignment horizontal="center" shrinkToFit="0" vertical="center" wrapText="1"/>
    </xf>
    <xf borderId="11" fillId="6" fontId="1" numFmtId="0" xfId="0" applyAlignment="1" applyBorder="1" applyFon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5" fillId="6" fontId="1" numFmtId="14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readingOrder="0" shrinkToFit="0" vertical="bottom" wrapText="1"/>
    </xf>
    <xf borderId="9" fillId="0" fontId="10" numFmtId="164" xfId="0" applyAlignment="1" applyBorder="1" applyFont="1" applyNumberFormat="1">
      <alignment horizontal="center" readingOrder="0" shrinkToFit="0" vertical="center" wrapText="1"/>
    </xf>
    <xf borderId="9" fillId="0" fontId="7" numFmtId="0" xfId="0" applyAlignment="1" applyBorder="1" applyFont="1">
      <alignment horizontal="center" vertical="center"/>
    </xf>
    <xf borderId="10" fillId="3" fontId="7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2" fillId="3" fontId="10" numFmtId="164" xfId="0" applyAlignment="1" applyBorder="1" applyFont="1" applyNumberFormat="1">
      <alignment horizontal="center" readingOrder="0" vertical="center"/>
    </xf>
    <xf borderId="13" fillId="0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shrinkToFit="0" vertical="center" wrapText="1"/>
    </xf>
    <xf borderId="20" fillId="6" fontId="1" numFmtId="0" xfId="0" applyAlignment="1" applyBorder="1" applyFont="1">
      <alignment readingOrder="0" shrinkToFit="0" vertical="bottom" wrapText="1"/>
    </xf>
    <xf borderId="20" fillId="0" fontId="5" numFmtId="0" xfId="0" applyAlignment="1" applyBorder="1" applyFont="1">
      <alignment vertical="bottom"/>
    </xf>
    <xf borderId="15" fillId="0" fontId="10" numFmtId="164" xfId="0" applyAlignment="1" applyBorder="1" applyFont="1" applyNumberFormat="1">
      <alignment horizontal="center" readingOrder="0" vertical="center"/>
    </xf>
    <xf borderId="20" fillId="3" fontId="4" numFmtId="0" xfId="0" applyAlignment="1" applyBorder="1" applyFont="1">
      <alignment readingOrder="0" shrinkToFit="0" vertical="bottom" wrapText="1"/>
    </xf>
    <xf borderId="16" fillId="0" fontId="7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center"/>
    </xf>
    <xf borderId="1" fillId="0" fontId="1" numFmtId="14" xfId="0" applyAlignment="1" applyBorder="1" applyFont="1" applyNumberFormat="1">
      <alignment horizontal="center" vertical="bottom"/>
    </xf>
    <xf borderId="16" fillId="0" fontId="11" numFmtId="0" xfId="0" applyAlignment="1" applyBorder="1" applyFont="1">
      <alignment horizontal="center" readingOrder="0" vertical="center"/>
    </xf>
    <xf borderId="16" fillId="0" fontId="11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readingOrder="0" shrinkToFit="0" vertical="center" wrapText="1"/>
    </xf>
    <xf borderId="19" fillId="0" fontId="7" numFmtId="0" xfId="0" applyAlignment="1" applyBorder="1" applyFont="1">
      <alignment readingOrder="0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readingOrder="0" shrinkToFit="0" vertical="center" wrapText="1"/>
    </xf>
    <xf borderId="7" fillId="0" fontId="1" numFmtId="164" xfId="0" applyAlignment="1" applyBorder="1" applyFont="1" applyNumberFormat="1">
      <alignment horizontal="center" readingOrder="0" vertical="center"/>
    </xf>
    <xf borderId="1" fillId="6" fontId="1" numFmtId="0" xfId="0" applyAlignment="1" applyBorder="1" applyFont="1">
      <alignment horizontal="center" readingOrder="0" vertical="bottom"/>
    </xf>
    <xf borderId="12" fillId="0" fontId="1" numFmtId="164" xfId="0" applyAlignment="1" applyBorder="1" applyFont="1" applyNumberFormat="1">
      <alignment horizontal="center" readingOrder="0" vertical="center"/>
    </xf>
    <xf borderId="1" fillId="6" fontId="1" numFmtId="0" xfId="0" applyAlignment="1" applyBorder="1" applyFont="1">
      <alignment horizontal="center" readingOrder="0" shrinkToFit="0" vertical="bottom" wrapText="1"/>
    </xf>
    <xf borderId="1" fillId="6" fontId="1" numFmtId="0" xfId="0" applyAlignment="1" applyBorder="1" applyFont="1">
      <alignment horizontal="center" shrinkToFit="0" vertical="bottom" wrapText="1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center"/>
    </xf>
    <xf borderId="7" fillId="6" fontId="18" numFmtId="164" xfId="0" applyAlignment="1" applyBorder="1" applyFont="1" applyNumberFormat="1">
      <alignment horizontal="center" readingOrder="0" vertical="center"/>
    </xf>
    <xf borderId="9" fillId="6" fontId="18" numFmtId="0" xfId="0" applyAlignment="1" applyBorder="1" applyFont="1">
      <alignment horizontal="center" vertical="center"/>
    </xf>
    <xf borderId="10" fillId="6" fontId="18" numFmtId="0" xfId="0" applyAlignment="1" applyBorder="1" applyFont="1">
      <alignment horizontal="center" readingOrder="0" vertical="center"/>
    </xf>
    <xf borderId="9" fillId="6" fontId="19" numFmtId="0" xfId="0" applyAlignment="1" applyBorder="1" applyFont="1">
      <alignment horizontal="center" readingOrder="0" vertical="center"/>
    </xf>
    <xf borderId="9" fillId="6" fontId="19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readingOrder="0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0" fillId="8" fontId="4" numFmtId="0" xfId="0" applyAlignment="1" applyFill="1" applyFont="1">
      <alignment readingOrder="0" shrinkToFit="0" vertical="center" wrapText="1"/>
    </xf>
    <xf borderId="15" fillId="6" fontId="1" numFmtId="164" xfId="0" applyAlignment="1" applyBorder="1" applyFont="1" applyNumberFormat="1">
      <alignment horizontal="center" readingOrder="0" vertical="center"/>
    </xf>
    <xf borderId="16" fillId="6" fontId="1" numFmtId="0" xfId="0" applyAlignment="1" applyBorder="1" applyFont="1">
      <alignment horizontal="center" vertical="center"/>
    </xf>
    <xf borderId="17" fillId="6" fontId="1" numFmtId="0" xfId="0" applyAlignment="1" applyBorder="1" applyFont="1">
      <alignment horizontal="center" vertical="center"/>
    </xf>
    <xf borderId="16" fillId="6" fontId="16" numFmtId="0" xfId="0" applyAlignment="1" applyBorder="1" applyFont="1">
      <alignment horizontal="center" readingOrder="0" vertical="center"/>
    </xf>
    <xf borderId="16" fillId="6" fontId="16" numFmtId="0" xfId="0" applyAlignment="1" applyBorder="1" applyFont="1">
      <alignment horizontal="center" readingOrder="0" shrinkToFit="0" vertical="center" wrapText="1"/>
    </xf>
    <xf borderId="18" fillId="6" fontId="1" numFmtId="0" xfId="0" applyAlignment="1" applyBorder="1" applyFont="1">
      <alignment readingOrder="0" shrinkToFit="0" vertical="center" wrapText="1"/>
    </xf>
    <xf borderId="20" fillId="0" fontId="17" numFmtId="164" xfId="0" applyAlignment="1" applyBorder="1" applyFont="1" applyNumberFormat="1">
      <alignment vertical="center"/>
    </xf>
    <xf borderId="20" fillId="0" fontId="5" numFmtId="0" xfId="0" applyAlignment="1" applyBorder="1" applyFont="1">
      <alignment vertical="center"/>
    </xf>
    <xf borderId="21" fillId="0" fontId="5" numFmtId="0" xfId="0" applyAlignment="1" applyBorder="1" applyFont="1">
      <alignment vertical="center"/>
    </xf>
    <xf borderId="20" fillId="0" fontId="20" numFmtId="0" xfId="0" applyAlignment="1" applyBorder="1" applyFont="1">
      <alignment vertical="center"/>
    </xf>
    <xf borderId="22" fillId="3" fontId="4" numFmtId="0" xfId="0" applyAlignment="1" applyBorder="1" applyFont="1">
      <alignment readingOrder="0" shrinkToFit="0" vertical="center" wrapText="1"/>
    </xf>
    <xf borderId="5" fillId="0" fontId="1" numFmtId="164" xfId="0" applyAlignment="1" applyBorder="1" applyFont="1" applyNumberFormat="1">
      <alignment horizontal="center" vertical="center"/>
    </xf>
    <xf borderId="1" fillId="0" fontId="1" numFmtId="14" xfId="0" applyAlignment="1" applyBorder="1" applyFont="1" applyNumberFormat="1">
      <alignment horizontal="center" vertical="center"/>
    </xf>
    <xf borderId="21" fillId="0" fontId="1" numFmtId="14" xfId="0" applyAlignment="1" applyBorder="1" applyFont="1" applyNumberFormat="1">
      <alignment horizontal="center" vertical="center"/>
    </xf>
    <xf borderId="1" fillId="0" fontId="16" numFmtId="14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vertical="center"/>
    </xf>
    <xf borderId="22" fillId="0" fontId="4" numFmtId="0" xfId="0" applyAlignment="1" applyBorder="1" applyFont="1">
      <alignment readingOrder="0" shrinkToFit="0" vertical="center" wrapText="1"/>
    </xf>
    <xf borderId="5" fillId="9" fontId="4" numFmtId="14" xfId="0" applyAlignment="1" applyBorder="1" applyFill="1" applyFont="1" applyNumberFormat="1">
      <alignment horizontal="center" readingOrder="0" vertical="bottom"/>
    </xf>
    <xf borderId="1" fillId="9" fontId="4" numFmtId="0" xfId="0" applyAlignment="1" applyBorder="1" applyFont="1">
      <alignment horizontal="center" vertical="bottom"/>
    </xf>
    <xf borderId="1" fillId="9" fontId="4" numFmtId="0" xfId="0" applyAlignment="1" applyBorder="1" applyFont="1">
      <alignment horizontal="center" readingOrder="0" vertical="bottom"/>
    </xf>
    <xf borderId="1" fillId="9" fontId="4" numFmtId="0" xfId="0" applyAlignment="1" applyBorder="1" applyFont="1">
      <alignment horizontal="center" readingOrder="0" shrinkToFit="0" vertical="bottom" wrapText="1"/>
    </xf>
    <xf borderId="1" fillId="9" fontId="4" numFmtId="0" xfId="0" applyAlignment="1" applyBorder="1" applyFont="1">
      <alignment horizontal="center" shrinkToFit="0" vertical="bottom" wrapText="1"/>
    </xf>
    <xf borderId="1" fillId="9" fontId="4" numFmtId="0" xfId="0" applyAlignment="1" applyBorder="1" applyFont="1">
      <alignment readingOrder="0" shrinkToFit="0" vertical="bottom" wrapText="1"/>
    </xf>
    <xf borderId="0" fillId="0" fontId="15" numFmtId="0" xfId="0" applyAlignment="1" applyFont="1">
      <alignment readingOrder="0" vertical="bottom"/>
    </xf>
    <xf borderId="5" fillId="3" fontId="21" numFmtId="14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1" fillId="3" fontId="21" numFmtId="0" xfId="0" applyAlignment="1" applyBorder="1" applyFont="1">
      <alignment horizontal="center" vertical="bottom"/>
    </xf>
    <xf borderId="0" fillId="0" fontId="15" numFmtId="0" xfId="0" applyAlignment="1" applyFont="1">
      <alignment readingOrder="0" vertical="center"/>
    </xf>
    <xf borderId="1" fillId="3" fontId="21" numFmtId="0" xfId="0" applyAlignment="1" applyBorder="1" applyFont="1">
      <alignment horizontal="center" readingOrder="0" vertical="bottom"/>
    </xf>
    <xf borderId="1" fillId="3" fontId="21" numFmtId="0" xfId="0" applyAlignment="1" applyBorder="1" applyFont="1">
      <alignment horizontal="center" readingOrder="0" shrinkToFit="0" vertical="bottom" wrapText="1"/>
    </xf>
    <xf borderId="1" fillId="3" fontId="21" numFmtId="0" xfId="0" applyAlignment="1" applyBorder="1" applyFont="1">
      <alignment horizontal="center" shrinkToFit="0" vertical="bottom" wrapText="1"/>
    </xf>
    <xf borderId="8" fillId="3" fontId="21" numFmtId="0" xfId="0" applyAlignment="1" applyBorder="1" applyFont="1">
      <alignment readingOrder="0" shrinkToFit="0" vertical="bottom" wrapText="1"/>
    </xf>
    <xf borderId="1" fillId="3" fontId="21" numFmtId="0" xfId="0" applyAlignment="1" applyBorder="1" applyFont="1">
      <alignment readingOrder="0" shrinkToFit="0" vertical="bottom" wrapText="1"/>
    </xf>
    <xf borderId="5" fillId="0" fontId="21" numFmtId="14" xfId="0" applyAlignment="1" applyBorder="1" applyFont="1" applyNumberFormat="1">
      <alignment horizontal="center" readingOrder="0" vertical="bottom"/>
    </xf>
    <xf borderId="1" fillId="0" fontId="21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readingOrder="0" shrinkToFit="0" vertical="bottom" wrapText="1"/>
    </xf>
    <xf borderId="1" fillId="0" fontId="21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readingOrder="0" shrinkToFit="0" vertical="bottom" wrapText="1"/>
    </xf>
    <xf borderId="5" fillId="0" fontId="22" numFmtId="14" xfId="0" applyAlignment="1" applyBorder="1" applyFont="1" applyNumberFormat="1">
      <alignment horizontal="center" readingOrder="0" vertical="bottom"/>
    </xf>
    <xf borderId="1" fillId="0" fontId="22" numFmtId="0" xfId="0" applyAlignment="1" applyBorder="1" applyFont="1">
      <alignment horizontal="center" vertical="bottom"/>
    </xf>
    <xf borderId="1" fillId="0" fontId="22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 readingOrder="0" shrinkToFit="0" vertical="bottom" wrapText="1"/>
    </xf>
    <xf borderId="1" fillId="0" fontId="22" numFmtId="0" xfId="0" applyAlignment="1" applyBorder="1" applyFont="1">
      <alignment horizontal="center" shrinkToFit="0" vertical="bottom" wrapText="1"/>
    </xf>
    <xf borderId="1" fillId="0" fontId="22" numFmtId="0" xfId="0" applyAlignment="1" applyBorder="1" applyFont="1">
      <alignment readingOrder="0" shrinkToFit="0" vertical="bottom" wrapText="1"/>
    </xf>
    <xf borderId="1" fillId="0" fontId="23" numFmtId="0" xfId="0" applyAlignment="1" applyBorder="1" applyFont="1">
      <alignment readingOrder="0" shrinkToFit="0" vertical="bottom" wrapText="1"/>
    </xf>
    <xf borderId="1" fillId="0" fontId="24" numFmtId="0" xfId="0" applyAlignment="1" applyBorder="1" applyFont="1">
      <alignment vertical="bottom"/>
    </xf>
    <xf borderId="5" fillId="10" fontId="4" numFmtId="14" xfId="0" applyAlignment="1" applyBorder="1" applyFill="1" applyFont="1" applyNumberFormat="1">
      <alignment horizontal="center" readingOrder="0" vertical="bottom"/>
    </xf>
    <xf borderId="1" fillId="0" fontId="5" numFmtId="0" xfId="0" applyAlignment="1" applyBorder="1" applyFont="1">
      <alignment vertical="bottom"/>
    </xf>
    <xf borderId="5" fillId="6" fontId="4" numFmtId="14" xfId="0" applyAlignment="1" applyBorder="1" applyFont="1" applyNumberFormat="1">
      <alignment horizontal="center" readingOrder="0" vertical="bottom"/>
    </xf>
    <xf borderId="1" fillId="6" fontId="4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readingOrder="0" shrinkToFit="0" vertical="bottom" wrapText="1"/>
    </xf>
    <xf borderId="1" fillId="6" fontId="5" numFmtId="0" xfId="0" applyAlignment="1" applyBorder="1" applyFont="1">
      <alignment vertical="bottom"/>
    </xf>
    <xf borderId="1" fillId="6" fontId="4" numFmtId="0" xfId="0" applyAlignment="1" applyBorder="1" applyFont="1">
      <alignment horizontal="center" shrinkToFit="0" vertical="bottom" wrapText="1"/>
    </xf>
    <xf borderId="1" fillId="6" fontId="23" numFmtId="0" xfId="0" applyAlignment="1" applyBorder="1" applyFont="1">
      <alignment readingOrder="0" shrinkToFit="0" vertical="bottom" wrapText="1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readingOrder="0" vertical="bottom"/>
    </xf>
    <xf borderId="1" fillId="6" fontId="17" numFmtId="0" xfId="0" applyAlignment="1" applyBorder="1" applyFont="1">
      <alignment vertical="bottom"/>
    </xf>
    <xf borderId="5" fillId="0" fontId="4" numFmtId="1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shrinkToFit="0" vertical="bottom" wrapText="1"/>
    </xf>
    <xf borderId="5" fillId="0" fontId="1" numFmtId="1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25" numFmtId="0" xfId="0" applyFont="1"/>
    <xf borderId="0" fillId="0" fontId="2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0.25"/>
    <col customWidth="1" min="4" max="8" width="11.38"/>
    <col customWidth="1" min="9" max="10" width="61.5"/>
  </cols>
  <sheetData>
    <row r="1">
      <c r="A1" s="2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8</v>
      </c>
      <c r="I1" s="11" t="s">
        <v>7</v>
      </c>
      <c r="J1" s="12" t="s">
        <v>11</v>
      </c>
    </row>
    <row r="2">
      <c r="A2" s="13">
        <v>46237.0</v>
      </c>
      <c r="B2" s="17" t="str">
        <f t="shared" ref="B2:B43" si="1">TEXT(A2,"dddd")</f>
        <v>lunes</v>
      </c>
      <c r="C2" s="19" t="s">
        <v>14</v>
      </c>
      <c r="D2" s="20">
        <v>1.0</v>
      </c>
      <c r="E2" s="21" t="s">
        <v>17</v>
      </c>
      <c r="F2" s="21" t="s">
        <v>16</v>
      </c>
      <c r="G2" s="21">
        <v>1.0</v>
      </c>
      <c r="H2" s="25">
        <v>2.0</v>
      </c>
      <c r="I2" s="27" t="s">
        <v>21</v>
      </c>
      <c r="J2" s="29" t="s">
        <v>23</v>
      </c>
    </row>
    <row r="3">
      <c r="A3" s="31">
        <v>46239.0</v>
      </c>
      <c r="B3" s="33" t="str">
        <f t="shared" si="1"/>
        <v>miércoles</v>
      </c>
      <c r="C3" s="35" t="s">
        <v>14</v>
      </c>
      <c r="D3" s="37">
        <v>1.0</v>
      </c>
      <c r="E3" s="37" t="s">
        <v>17</v>
      </c>
      <c r="F3" s="37" t="s">
        <v>27</v>
      </c>
      <c r="G3" s="37">
        <v>2.0</v>
      </c>
      <c r="H3" s="40">
        <v>2.0</v>
      </c>
      <c r="I3" s="27" t="s">
        <v>29</v>
      </c>
      <c r="J3" s="29" t="s">
        <v>30</v>
      </c>
    </row>
    <row r="4">
      <c r="A4" s="41">
        <v>46240.0</v>
      </c>
      <c r="B4" s="43" t="str">
        <f t="shared" si="1"/>
        <v>jueves</v>
      </c>
      <c r="C4" s="45" t="s">
        <v>13</v>
      </c>
      <c r="D4" s="47">
        <v>1.0</v>
      </c>
      <c r="E4" s="47" t="s">
        <v>32</v>
      </c>
      <c r="F4" s="47" t="s">
        <v>27</v>
      </c>
      <c r="G4" s="47">
        <v>3.0</v>
      </c>
      <c r="H4" s="47">
        <v>2.0</v>
      </c>
      <c r="I4" s="49" t="s">
        <v>36</v>
      </c>
      <c r="J4" s="50" t="s">
        <v>37</v>
      </c>
    </row>
    <row r="5">
      <c r="A5" s="13">
        <v>46244.0</v>
      </c>
      <c r="B5" s="51" t="str">
        <f t="shared" si="1"/>
        <v>lunes</v>
      </c>
      <c r="C5" s="19" t="s">
        <v>14</v>
      </c>
      <c r="D5" s="21">
        <v>2.0</v>
      </c>
      <c r="E5" s="21" t="s">
        <v>17</v>
      </c>
      <c r="F5" s="21" t="s">
        <v>41</v>
      </c>
      <c r="G5" s="21">
        <v>4.0</v>
      </c>
      <c r="H5" s="21">
        <v>2.0</v>
      </c>
      <c r="I5" s="27" t="s">
        <v>44</v>
      </c>
      <c r="J5" s="29" t="s">
        <v>45</v>
      </c>
    </row>
    <row r="6">
      <c r="A6" s="31">
        <v>46246.0</v>
      </c>
      <c r="B6" s="56" t="str">
        <f t="shared" si="1"/>
        <v>miércoles</v>
      </c>
      <c r="C6" s="35" t="s">
        <v>14</v>
      </c>
      <c r="D6" s="59">
        <v>2.0</v>
      </c>
      <c r="E6" s="37" t="s">
        <v>17</v>
      </c>
      <c r="F6" s="37" t="s">
        <v>27</v>
      </c>
      <c r="G6" s="59">
        <v>5.0</v>
      </c>
      <c r="H6" s="61">
        <v>2.0</v>
      </c>
      <c r="I6" s="27" t="s">
        <v>50</v>
      </c>
      <c r="J6" s="29" t="s">
        <v>52</v>
      </c>
    </row>
    <row r="7">
      <c r="A7" s="41">
        <v>46247.0</v>
      </c>
      <c r="B7" s="62" t="str">
        <f t="shared" si="1"/>
        <v>jueves</v>
      </c>
      <c r="C7" s="45" t="s">
        <v>13</v>
      </c>
      <c r="D7" s="64">
        <v>2.0</v>
      </c>
      <c r="E7" s="47" t="s">
        <v>32</v>
      </c>
      <c r="F7" s="47" t="s">
        <v>27</v>
      </c>
      <c r="G7" s="64">
        <v>6.0</v>
      </c>
      <c r="H7" s="64">
        <v>2.0</v>
      </c>
      <c r="I7" s="68" t="s">
        <v>56</v>
      </c>
      <c r="J7" s="69" t="s">
        <v>57</v>
      </c>
    </row>
    <row r="8">
      <c r="A8" s="70">
        <v>46251.0</v>
      </c>
      <c r="B8" s="71" t="str">
        <f t="shared" si="1"/>
        <v>lunes</v>
      </c>
      <c r="C8" s="72" t="s">
        <v>14</v>
      </c>
      <c r="D8" s="73">
        <v>3.0</v>
      </c>
      <c r="E8" s="73" t="s">
        <v>32</v>
      </c>
      <c r="F8" s="73" t="s">
        <v>41</v>
      </c>
      <c r="G8" s="73" t="s">
        <v>19</v>
      </c>
      <c r="H8" s="74" t="s">
        <v>19</v>
      </c>
      <c r="I8" s="75" t="s">
        <v>28</v>
      </c>
      <c r="J8" s="76"/>
    </row>
    <row r="9">
      <c r="A9" s="77">
        <v>46253.0</v>
      </c>
      <c r="B9" s="56" t="str">
        <f t="shared" si="1"/>
        <v>miércoles</v>
      </c>
      <c r="C9" s="79" t="s">
        <v>14</v>
      </c>
      <c r="D9" s="59">
        <v>3.0</v>
      </c>
      <c r="E9" s="59" t="s">
        <v>32</v>
      </c>
      <c r="F9" s="59" t="s">
        <v>27</v>
      </c>
      <c r="G9" s="59">
        <v>7.0</v>
      </c>
      <c r="H9" s="61">
        <v>2.0</v>
      </c>
      <c r="I9" s="81" t="s">
        <v>63</v>
      </c>
      <c r="J9" s="69" t="s">
        <v>50</v>
      </c>
    </row>
    <row r="10">
      <c r="A10" s="41">
        <v>46254.0</v>
      </c>
      <c r="B10" s="43" t="str">
        <f t="shared" si="1"/>
        <v>jueves</v>
      </c>
      <c r="C10" s="45" t="s">
        <v>13</v>
      </c>
      <c r="D10" s="47">
        <v>3.0</v>
      </c>
      <c r="E10" s="47" t="s">
        <v>17</v>
      </c>
      <c r="F10" s="47" t="s">
        <v>27</v>
      </c>
      <c r="G10" s="47">
        <v>8.0</v>
      </c>
      <c r="H10" s="64">
        <v>2.0</v>
      </c>
      <c r="I10" s="68" t="s">
        <v>67</v>
      </c>
      <c r="J10" s="69" t="s">
        <v>69</v>
      </c>
    </row>
    <row r="11">
      <c r="A11" s="13">
        <v>46258.0</v>
      </c>
      <c r="B11" s="90" t="str">
        <f t="shared" si="1"/>
        <v>lunes</v>
      </c>
      <c r="C11" s="19" t="s">
        <v>14</v>
      </c>
      <c r="D11" s="93">
        <v>4.0</v>
      </c>
      <c r="E11" s="21" t="s">
        <v>17</v>
      </c>
      <c r="F11" s="21" t="s">
        <v>41</v>
      </c>
      <c r="G11" s="93">
        <v>9.0</v>
      </c>
      <c r="H11" s="94">
        <v>2.0</v>
      </c>
      <c r="I11" s="95" t="s">
        <v>71</v>
      </c>
      <c r="J11" s="69" t="s">
        <v>73</v>
      </c>
    </row>
    <row r="12">
      <c r="A12" s="31">
        <v>46260.0</v>
      </c>
      <c r="B12" s="97" t="str">
        <f t="shared" si="1"/>
        <v>miércoles</v>
      </c>
      <c r="C12" s="35" t="s">
        <v>14</v>
      </c>
      <c r="D12" s="61">
        <v>4.0</v>
      </c>
      <c r="E12" s="37" t="s">
        <v>17</v>
      </c>
      <c r="F12" s="37" t="s">
        <v>27</v>
      </c>
      <c r="G12" s="61">
        <v>10.0</v>
      </c>
      <c r="H12" s="61">
        <v>2.0</v>
      </c>
      <c r="I12" s="95" t="s">
        <v>74</v>
      </c>
      <c r="J12" s="69" t="s">
        <v>63</v>
      </c>
    </row>
    <row r="13">
      <c r="A13" s="41">
        <v>46261.0</v>
      </c>
      <c r="B13" s="62" t="str">
        <f t="shared" si="1"/>
        <v>jueves</v>
      </c>
      <c r="C13" s="45" t="s">
        <v>13</v>
      </c>
      <c r="D13" s="64">
        <v>4.0</v>
      </c>
      <c r="E13" s="47" t="s">
        <v>32</v>
      </c>
      <c r="F13" s="47" t="s">
        <v>27</v>
      </c>
      <c r="G13" s="64">
        <v>11.0</v>
      </c>
      <c r="H13" s="64">
        <v>2.0</v>
      </c>
      <c r="I13" s="68" t="s">
        <v>75</v>
      </c>
      <c r="J13" s="69" t="s">
        <v>77</v>
      </c>
    </row>
    <row r="14">
      <c r="A14" s="13">
        <v>46265.0</v>
      </c>
      <c r="B14" s="90" t="str">
        <f t="shared" si="1"/>
        <v>lunes</v>
      </c>
      <c r="C14" s="19" t="s">
        <v>14</v>
      </c>
      <c r="D14" s="93">
        <v>5.0</v>
      </c>
      <c r="E14" s="21" t="s">
        <v>17</v>
      </c>
      <c r="F14" s="21" t="s">
        <v>41</v>
      </c>
      <c r="G14" s="93">
        <v>12.0</v>
      </c>
      <c r="H14" s="104">
        <v>2.0</v>
      </c>
      <c r="I14" s="81" t="s">
        <v>80</v>
      </c>
      <c r="J14" s="69" t="s">
        <v>71</v>
      </c>
    </row>
    <row r="15">
      <c r="A15" s="31">
        <v>46267.0</v>
      </c>
      <c r="B15" s="97" t="str">
        <f t="shared" si="1"/>
        <v>miércoles</v>
      </c>
      <c r="C15" s="35" t="s">
        <v>14</v>
      </c>
      <c r="D15" s="61">
        <v>5.0</v>
      </c>
      <c r="E15" s="37" t="s">
        <v>17</v>
      </c>
      <c r="F15" s="37" t="s">
        <v>27</v>
      </c>
      <c r="G15" s="61">
        <v>13.0</v>
      </c>
      <c r="H15" s="61">
        <v>2.0</v>
      </c>
      <c r="I15" s="81" t="s">
        <v>82</v>
      </c>
      <c r="J15" s="69" t="s">
        <v>83</v>
      </c>
    </row>
    <row r="16">
      <c r="A16" s="41">
        <v>46268.0</v>
      </c>
      <c r="B16" s="107" t="str">
        <f t="shared" si="1"/>
        <v>jueves</v>
      </c>
      <c r="C16" s="45" t="s">
        <v>13</v>
      </c>
      <c r="D16" s="64">
        <v>5.0</v>
      </c>
      <c r="E16" s="47" t="s">
        <v>32</v>
      </c>
      <c r="F16" s="47" t="s">
        <v>27</v>
      </c>
      <c r="G16" s="64">
        <v>14.0</v>
      </c>
      <c r="H16" s="64">
        <v>2.0</v>
      </c>
      <c r="I16" s="68" t="s">
        <v>87</v>
      </c>
      <c r="J16" s="69" t="s">
        <v>88</v>
      </c>
    </row>
    <row r="17">
      <c r="A17" s="108">
        <v>46272.0</v>
      </c>
      <c r="B17" s="109" t="str">
        <f t="shared" si="1"/>
        <v>lunes</v>
      </c>
      <c r="C17" s="110" t="s">
        <v>14</v>
      </c>
      <c r="D17" s="112">
        <v>6.0</v>
      </c>
      <c r="E17" s="112" t="s">
        <v>17</v>
      </c>
      <c r="F17" s="112" t="s">
        <v>16</v>
      </c>
      <c r="G17" s="112" t="s">
        <v>19</v>
      </c>
      <c r="H17" s="114">
        <v>2.0</v>
      </c>
      <c r="I17" s="115" t="s">
        <v>93</v>
      </c>
      <c r="J17" s="116"/>
    </row>
    <row r="18">
      <c r="A18" s="31">
        <v>46274.0</v>
      </c>
      <c r="B18" s="97" t="str">
        <f t="shared" si="1"/>
        <v>miércoles</v>
      </c>
      <c r="C18" s="35" t="s">
        <v>14</v>
      </c>
      <c r="D18" s="61">
        <v>6.0</v>
      </c>
      <c r="E18" s="61" t="s">
        <v>17</v>
      </c>
      <c r="F18" s="37" t="s">
        <v>27</v>
      </c>
      <c r="G18" s="61">
        <v>15.0</v>
      </c>
      <c r="H18" s="61">
        <v>2.0</v>
      </c>
      <c r="I18" s="81" t="s">
        <v>97</v>
      </c>
      <c r="J18" s="69" t="s">
        <v>98</v>
      </c>
    </row>
    <row r="19">
      <c r="A19" s="41">
        <v>46275.0</v>
      </c>
      <c r="B19" s="43" t="str">
        <f t="shared" si="1"/>
        <v>jueves</v>
      </c>
      <c r="C19" s="45" t="s">
        <v>13</v>
      </c>
      <c r="D19" s="47">
        <v>6.0</v>
      </c>
      <c r="E19" s="47" t="s">
        <v>32</v>
      </c>
      <c r="F19" s="47" t="s">
        <v>27</v>
      </c>
      <c r="G19" s="47">
        <v>16.0</v>
      </c>
      <c r="H19" s="64">
        <v>2.0</v>
      </c>
      <c r="I19" s="68" t="s">
        <v>101</v>
      </c>
      <c r="J19" s="69" t="s">
        <v>102</v>
      </c>
    </row>
    <row r="20">
      <c r="A20" s="119">
        <v>46279.0</v>
      </c>
      <c r="B20" s="120" t="str">
        <f t="shared" si="1"/>
        <v>lunes</v>
      </c>
      <c r="C20" s="121" t="s">
        <v>14</v>
      </c>
      <c r="D20" s="122">
        <v>7.0</v>
      </c>
      <c r="E20" s="122" t="s">
        <v>17</v>
      </c>
      <c r="F20" s="122" t="s">
        <v>41</v>
      </c>
      <c r="G20" s="122" t="s">
        <v>19</v>
      </c>
      <c r="H20" s="123">
        <v>2.0</v>
      </c>
      <c r="I20" s="124" t="s">
        <v>105</v>
      </c>
      <c r="J20" s="125" t="s">
        <v>105</v>
      </c>
    </row>
    <row r="21">
      <c r="A21" s="126">
        <v>46281.0</v>
      </c>
      <c r="B21" s="127" t="str">
        <f t="shared" si="1"/>
        <v>miércoles</v>
      </c>
      <c r="C21" s="128" t="s">
        <v>14</v>
      </c>
      <c r="D21" s="129">
        <v>7.0</v>
      </c>
      <c r="E21" s="129" t="s">
        <v>17</v>
      </c>
      <c r="F21" s="129" t="s">
        <v>27</v>
      </c>
      <c r="G21" s="129" t="s">
        <v>19</v>
      </c>
      <c r="H21" s="130">
        <v>2.0</v>
      </c>
      <c r="I21" s="124" t="s">
        <v>105</v>
      </c>
      <c r="J21" s="125" t="s">
        <v>105</v>
      </c>
    </row>
    <row r="22">
      <c r="A22" s="133">
        <v>46282.0</v>
      </c>
      <c r="B22" s="135" t="str">
        <f t="shared" si="1"/>
        <v>jueves</v>
      </c>
      <c r="C22" s="137" t="s">
        <v>13</v>
      </c>
      <c r="D22" s="139">
        <v>7.0</v>
      </c>
      <c r="E22" s="139" t="s">
        <v>32</v>
      </c>
      <c r="F22" s="139" t="s">
        <v>27</v>
      </c>
      <c r="G22" s="139" t="s">
        <v>19</v>
      </c>
      <c r="H22" s="140">
        <v>2.0</v>
      </c>
      <c r="I22" s="141" t="s">
        <v>105</v>
      </c>
      <c r="J22" s="125" t="s">
        <v>105</v>
      </c>
    </row>
    <row r="23">
      <c r="A23" s="13">
        <v>46286.0</v>
      </c>
      <c r="B23" s="90" t="str">
        <f t="shared" si="1"/>
        <v>lunes</v>
      </c>
      <c r="C23" s="19" t="s">
        <v>14</v>
      </c>
      <c r="D23" s="93">
        <v>8.0</v>
      </c>
      <c r="E23" s="93" t="s">
        <v>17</v>
      </c>
      <c r="F23" s="93" t="s">
        <v>41</v>
      </c>
      <c r="G23" s="93">
        <v>17.0</v>
      </c>
      <c r="H23" s="104">
        <v>2.0</v>
      </c>
      <c r="I23" s="142" t="s">
        <v>115</v>
      </c>
      <c r="J23" s="69" t="s">
        <v>116</v>
      </c>
    </row>
    <row r="24">
      <c r="A24" s="31">
        <v>46288.0</v>
      </c>
      <c r="B24" s="56" t="str">
        <f t="shared" si="1"/>
        <v>miércoles</v>
      </c>
      <c r="C24" s="35" t="s">
        <v>14</v>
      </c>
      <c r="D24" s="59">
        <v>8.0</v>
      </c>
      <c r="E24" s="59" t="s">
        <v>17</v>
      </c>
      <c r="F24" s="59" t="s">
        <v>27</v>
      </c>
      <c r="G24" s="59">
        <v>18.0</v>
      </c>
      <c r="H24" s="143">
        <v>2.0</v>
      </c>
      <c r="I24" s="81" t="s">
        <v>118</v>
      </c>
      <c r="J24" s="69" t="s">
        <v>119</v>
      </c>
    </row>
    <row r="25">
      <c r="A25" s="41">
        <v>46289.0</v>
      </c>
      <c r="B25" s="43" t="str">
        <f t="shared" si="1"/>
        <v>jueves</v>
      </c>
      <c r="C25" s="45" t="s">
        <v>13</v>
      </c>
      <c r="D25" s="47">
        <v>8.0</v>
      </c>
      <c r="E25" s="47" t="s">
        <v>32</v>
      </c>
      <c r="F25" s="47" t="s">
        <v>27</v>
      </c>
      <c r="G25" s="47">
        <v>19.0</v>
      </c>
      <c r="H25" s="144">
        <v>2.0</v>
      </c>
      <c r="I25" s="68" t="s">
        <v>121</v>
      </c>
      <c r="J25" s="69" t="s">
        <v>123</v>
      </c>
    </row>
    <row r="26">
      <c r="A26" s="146">
        <v>46293.0</v>
      </c>
      <c r="B26" s="90" t="str">
        <f t="shared" si="1"/>
        <v>lunes</v>
      </c>
      <c r="C26" s="19" t="s">
        <v>14</v>
      </c>
      <c r="D26" s="93">
        <v>9.0</v>
      </c>
      <c r="E26" s="93" t="s">
        <v>17</v>
      </c>
      <c r="F26" s="93" t="s">
        <v>41</v>
      </c>
      <c r="G26" s="93">
        <v>20.0</v>
      </c>
      <c r="H26" s="104">
        <v>2.0</v>
      </c>
      <c r="I26" s="95" t="s">
        <v>124</v>
      </c>
      <c r="J26" s="69" t="s">
        <v>115</v>
      </c>
    </row>
    <row r="27">
      <c r="A27" s="148">
        <v>46295.0</v>
      </c>
      <c r="B27" s="56" t="str">
        <f t="shared" si="1"/>
        <v>miércoles</v>
      </c>
      <c r="C27" s="35" t="s">
        <v>14</v>
      </c>
      <c r="D27" s="59">
        <v>9.0</v>
      </c>
      <c r="E27" s="59" t="s">
        <v>17</v>
      </c>
      <c r="F27" s="59" t="s">
        <v>27</v>
      </c>
      <c r="G27" s="59">
        <v>21.0</v>
      </c>
      <c r="H27" s="143">
        <v>2.0</v>
      </c>
      <c r="I27" s="81" t="s">
        <v>126</v>
      </c>
      <c r="J27" s="69" t="s">
        <v>127</v>
      </c>
    </row>
    <row r="28">
      <c r="A28" s="41">
        <v>46296.0</v>
      </c>
      <c r="B28" s="43" t="str">
        <f t="shared" si="1"/>
        <v>jueves</v>
      </c>
      <c r="C28" s="45" t="s">
        <v>13</v>
      </c>
      <c r="D28" s="47">
        <v>9.0</v>
      </c>
      <c r="E28" s="47" t="s">
        <v>32</v>
      </c>
      <c r="F28" s="47" t="s">
        <v>27</v>
      </c>
      <c r="G28" s="47">
        <v>22.0</v>
      </c>
      <c r="H28" s="144">
        <v>2.0</v>
      </c>
      <c r="I28" s="68" t="s">
        <v>129</v>
      </c>
      <c r="J28" s="69" t="s">
        <v>130</v>
      </c>
    </row>
    <row r="29">
      <c r="A29" s="146">
        <v>46300.0</v>
      </c>
      <c r="B29" s="90" t="str">
        <f t="shared" si="1"/>
        <v>lunes</v>
      </c>
      <c r="C29" s="19" t="s">
        <v>14</v>
      </c>
      <c r="D29" s="93">
        <v>10.0</v>
      </c>
      <c r="E29" s="93" t="s">
        <v>17</v>
      </c>
      <c r="F29" s="93" t="s">
        <v>41</v>
      </c>
      <c r="G29" s="93">
        <v>23.0</v>
      </c>
      <c r="H29" s="104">
        <v>2.0</v>
      </c>
      <c r="I29" s="95" t="s">
        <v>132</v>
      </c>
      <c r="J29" s="69" t="s">
        <v>121</v>
      </c>
    </row>
    <row r="30">
      <c r="A30" s="148">
        <v>46302.0</v>
      </c>
      <c r="B30" s="56" t="str">
        <f t="shared" si="1"/>
        <v>miércoles</v>
      </c>
      <c r="C30" s="35" t="s">
        <v>14</v>
      </c>
      <c r="D30" s="59">
        <v>10.0</v>
      </c>
      <c r="E30" s="59" t="s">
        <v>17</v>
      </c>
      <c r="F30" s="59" t="s">
        <v>27</v>
      </c>
      <c r="G30" s="59">
        <v>24.0</v>
      </c>
      <c r="H30" s="143">
        <v>2.0</v>
      </c>
      <c r="I30" s="142" t="s">
        <v>134</v>
      </c>
      <c r="J30" s="69" t="s">
        <v>135</v>
      </c>
    </row>
    <row r="31">
      <c r="A31" s="41">
        <v>46303.0</v>
      </c>
      <c r="B31" s="43" t="str">
        <f t="shared" si="1"/>
        <v>jueves</v>
      </c>
      <c r="C31" s="45" t="s">
        <v>13</v>
      </c>
      <c r="D31" s="47">
        <v>10.0</v>
      </c>
      <c r="E31" s="47" t="s">
        <v>32</v>
      </c>
      <c r="F31" s="47" t="s">
        <v>27</v>
      </c>
      <c r="G31" s="47">
        <v>25.0</v>
      </c>
      <c r="H31" s="144">
        <v>2.0</v>
      </c>
      <c r="I31" s="68"/>
      <c r="J31" s="69" t="s">
        <v>137</v>
      </c>
    </row>
    <row r="32">
      <c r="A32" s="70">
        <v>46307.0</v>
      </c>
      <c r="B32" s="71" t="str">
        <f t="shared" si="1"/>
        <v>lunes</v>
      </c>
      <c r="C32" s="72" t="s">
        <v>14</v>
      </c>
      <c r="D32" s="73">
        <v>11.0</v>
      </c>
      <c r="E32" s="73" t="s">
        <v>17</v>
      </c>
      <c r="F32" s="73" t="s">
        <v>41</v>
      </c>
      <c r="G32" s="73" t="s">
        <v>19</v>
      </c>
      <c r="H32" s="74">
        <v>2.0</v>
      </c>
      <c r="I32" s="75" t="s">
        <v>28</v>
      </c>
      <c r="J32" s="76"/>
    </row>
    <row r="33">
      <c r="A33" s="148">
        <v>46309.0</v>
      </c>
      <c r="B33" s="56" t="str">
        <f t="shared" si="1"/>
        <v>miércoles</v>
      </c>
      <c r="C33" s="35" t="s">
        <v>14</v>
      </c>
      <c r="D33" s="59">
        <v>11.0</v>
      </c>
      <c r="E33" s="59" t="s">
        <v>17</v>
      </c>
      <c r="F33" s="59" t="s">
        <v>27</v>
      </c>
      <c r="G33" s="59">
        <v>26.0</v>
      </c>
      <c r="H33" s="143">
        <v>2.0</v>
      </c>
      <c r="I33" s="81"/>
      <c r="J33" s="69" t="s">
        <v>139</v>
      </c>
    </row>
    <row r="34">
      <c r="A34" s="41">
        <v>46310.0</v>
      </c>
      <c r="B34" s="43" t="str">
        <f t="shared" si="1"/>
        <v>jueves</v>
      </c>
      <c r="C34" s="45" t="s">
        <v>13</v>
      </c>
      <c r="D34" s="47">
        <v>11.0</v>
      </c>
      <c r="E34" s="47" t="s">
        <v>32</v>
      </c>
      <c r="F34" s="47" t="s">
        <v>27</v>
      </c>
      <c r="G34" s="47">
        <v>27.0</v>
      </c>
      <c r="H34" s="144">
        <v>2.0</v>
      </c>
      <c r="I34" s="68"/>
      <c r="J34" s="69" t="s">
        <v>140</v>
      </c>
    </row>
    <row r="35">
      <c r="A35" s="153">
        <v>46314.0</v>
      </c>
      <c r="B35" s="154" t="str">
        <f t="shared" si="1"/>
        <v>lunes</v>
      </c>
      <c r="C35" s="155" t="s">
        <v>25</v>
      </c>
      <c r="D35" s="156">
        <v>12.0</v>
      </c>
      <c r="E35" s="156" t="s">
        <v>17</v>
      </c>
      <c r="F35" s="156" t="s">
        <v>16</v>
      </c>
      <c r="G35" s="156" t="s">
        <v>19</v>
      </c>
      <c r="H35" s="157">
        <v>2.0</v>
      </c>
      <c r="I35" s="115" t="s">
        <v>142</v>
      </c>
      <c r="J35" s="116"/>
    </row>
    <row r="36">
      <c r="A36" s="148">
        <v>46316.0</v>
      </c>
      <c r="B36" s="56" t="str">
        <f t="shared" si="1"/>
        <v>miércoles</v>
      </c>
      <c r="C36" s="79" t="s">
        <v>13</v>
      </c>
      <c r="D36" s="59">
        <v>12.0</v>
      </c>
      <c r="E36" s="59" t="s">
        <v>17</v>
      </c>
      <c r="F36" s="59" t="s">
        <v>27</v>
      </c>
      <c r="G36" s="59">
        <v>28.0</v>
      </c>
      <c r="H36" s="143">
        <v>2.0</v>
      </c>
      <c r="I36" s="81"/>
      <c r="J36" s="69" t="s">
        <v>143</v>
      </c>
    </row>
    <row r="37">
      <c r="A37" s="41">
        <v>46317.0</v>
      </c>
      <c r="B37" s="43" t="str">
        <f t="shared" si="1"/>
        <v>jueves</v>
      </c>
      <c r="C37" s="45" t="s">
        <v>13</v>
      </c>
      <c r="D37" s="47">
        <v>12.0</v>
      </c>
      <c r="E37" s="47" t="s">
        <v>32</v>
      </c>
      <c r="F37" s="47" t="s">
        <v>27</v>
      </c>
      <c r="G37" s="47">
        <v>29.0</v>
      </c>
      <c r="H37" s="144">
        <v>2.0</v>
      </c>
      <c r="I37" s="68"/>
      <c r="J37" s="69" t="s">
        <v>144</v>
      </c>
    </row>
    <row r="38">
      <c r="A38" s="146">
        <v>46321.0</v>
      </c>
      <c r="B38" s="160" t="str">
        <f t="shared" si="1"/>
        <v>lunes</v>
      </c>
      <c r="C38" s="161" t="s">
        <v>25</v>
      </c>
      <c r="D38" s="93">
        <v>13.0</v>
      </c>
      <c r="E38" s="93" t="s">
        <v>17</v>
      </c>
      <c r="F38" s="93" t="s">
        <v>145</v>
      </c>
      <c r="G38" s="93">
        <v>29.0</v>
      </c>
      <c r="H38" s="104">
        <v>2.0</v>
      </c>
      <c r="I38" s="95"/>
      <c r="J38" s="69" t="s">
        <v>146</v>
      </c>
    </row>
    <row r="39">
      <c r="A39" s="148">
        <v>46323.0</v>
      </c>
      <c r="B39" s="56" t="str">
        <f t="shared" si="1"/>
        <v>miércoles</v>
      </c>
      <c r="C39" s="79" t="s">
        <v>13</v>
      </c>
      <c r="D39" s="59">
        <v>13.0</v>
      </c>
      <c r="E39" s="59" t="s">
        <v>17</v>
      </c>
      <c r="F39" s="59" t="s">
        <v>27</v>
      </c>
      <c r="G39" s="59">
        <v>30.0</v>
      </c>
      <c r="H39" s="143">
        <v>2.0</v>
      </c>
      <c r="I39" s="81"/>
      <c r="J39" s="69" t="s">
        <v>134</v>
      </c>
    </row>
    <row r="40">
      <c r="A40" s="41">
        <v>46324.0</v>
      </c>
      <c r="B40" s="43" t="str">
        <f t="shared" si="1"/>
        <v>jueves</v>
      </c>
      <c r="C40" s="45" t="s">
        <v>13</v>
      </c>
      <c r="D40" s="47">
        <v>13.0</v>
      </c>
      <c r="E40" s="47" t="s">
        <v>32</v>
      </c>
      <c r="F40" s="47" t="s">
        <v>27</v>
      </c>
      <c r="G40" s="47">
        <v>31.0</v>
      </c>
      <c r="H40" s="144">
        <v>2.0</v>
      </c>
      <c r="I40" s="68"/>
      <c r="J40" s="69" t="s">
        <v>148</v>
      </c>
    </row>
    <row r="41">
      <c r="A41" s="146">
        <v>46328.0</v>
      </c>
      <c r="B41" s="90" t="str">
        <f t="shared" si="1"/>
        <v>lunes</v>
      </c>
      <c r="C41" s="162" t="s">
        <v>25</v>
      </c>
      <c r="D41" s="93">
        <v>14.0</v>
      </c>
      <c r="E41" s="93" t="s">
        <v>17</v>
      </c>
      <c r="F41" s="93" t="s">
        <v>41</v>
      </c>
      <c r="G41" s="93">
        <v>32.0</v>
      </c>
      <c r="H41" s="104">
        <v>2.0</v>
      </c>
      <c r="I41" s="95"/>
      <c r="J41" s="163" t="s">
        <v>150</v>
      </c>
    </row>
    <row r="42">
      <c r="A42" s="148">
        <v>46330.0</v>
      </c>
      <c r="B42" s="56" t="str">
        <f t="shared" si="1"/>
        <v>miércoles</v>
      </c>
      <c r="C42" s="79" t="s">
        <v>13</v>
      </c>
      <c r="D42" s="59">
        <v>14.0</v>
      </c>
      <c r="E42" s="59" t="s">
        <v>17</v>
      </c>
      <c r="F42" s="59" t="s">
        <v>27</v>
      </c>
      <c r="G42" s="59">
        <v>33.0</v>
      </c>
      <c r="H42" s="143">
        <v>2.0</v>
      </c>
      <c r="I42" s="81"/>
      <c r="J42" s="69" t="s">
        <v>151</v>
      </c>
    </row>
    <row r="43">
      <c r="A43" s="164">
        <v>46331.0</v>
      </c>
      <c r="B43" s="165" t="str">
        <f t="shared" si="1"/>
        <v>jueves</v>
      </c>
      <c r="C43" s="166" t="s">
        <v>13</v>
      </c>
      <c r="D43" s="167">
        <v>14.0</v>
      </c>
      <c r="E43" s="167" t="s">
        <v>32</v>
      </c>
      <c r="F43" s="167" t="s">
        <v>16</v>
      </c>
      <c r="G43" s="167">
        <v>34.0</v>
      </c>
      <c r="H43" s="168">
        <v>2.0</v>
      </c>
      <c r="I43" s="169" t="s">
        <v>110</v>
      </c>
      <c r="J43" s="116"/>
    </row>
    <row r="44">
      <c r="A44" s="170"/>
      <c r="B44" s="171"/>
      <c r="C44" s="172"/>
      <c r="D44" s="173"/>
      <c r="E44" s="173"/>
      <c r="F44" s="173"/>
      <c r="G44" s="173"/>
      <c r="H44" s="173"/>
      <c r="I44" s="174"/>
      <c r="J44" s="29"/>
    </row>
    <row r="45">
      <c r="A45" s="175" t="s">
        <v>112</v>
      </c>
      <c r="B45" s="176"/>
      <c r="C45" s="177"/>
      <c r="D45" s="178"/>
      <c r="E45" s="178"/>
      <c r="F45" s="178"/>
      <c r="G45" s="178"/>
      <c r="H45" s="179">
        <f>SUM(H2:H43)</f>
        <v>82</v>
      </c>
      <c r="I45" s="180"/>
      <c r="J45" s="69"/>
    </row>
  </sheetData>
  <autoFilter ref="$A$1:$I$4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8.0"/>
    <col customWidth="1" min="4" max="4" width="8.75"/>
    <col customWidth="1" min="5" max="5" width="5.38"/>
    <col customWidth="1" min="6" max="6" width="7.88"/>
    <col customWidth="1" min="7" max="7" width="8.88"/>
    <col customWidth="1" min="8" max="8" width="6.5"/>
    <col customWidth="1" min="9" max="9" width="10.88"/>
    <col customWidth="1" min="10" max="10" width="11.13"/>
    <col customWidth="1" min="11" max="11" width="61.5"/>
    <col customWidth="1" min="12" max="12" width="22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7</v>
      </c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8">
        <v>45729.0</v>
      </c>
      <c r="B2" s="14" t="str">
        <f t="shared" ref="B2:B41" si="1">TEXT(A2,"dddd")</f>
        <v>jueves</v>
      </c>
      <c r="C2" s="18" t="s">
        <v>13</v>
      </c>
      <c r="D2" s="14">
        <v>1.0</v>
      </c>
      <c r="E2" s="18" t="s">
        <v>15</v>
      </c>
      <c r="F2" s="18" t="s">
        <v>16</v>
      </c>
      <c r="G2" s="18" t="s">
        <v>19</v>
      </c>
      <c r="H2" s="22" t="s">
        <v>19</v>
      </c>
      <c r="I2" s="22" t="s">
        <v>19</v>
      </c>
      <c r="J2" s="24"/>
      <c r="K2" s="16" t="s">
        <v>12</v>
      </c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8">
        <v>45733.0</v>
      </c>
      <c r="B3" s="14" t="str">
        <f t="shared" si="1"/>
        <v>lunes</v>
      </c>
      <c r="C3" s="18" t="s">
        <v>25</v>
      </c>
      <c r="D3" s="18">
        <v>2.0</v>
      </c>
      <c r="E3" s="18" t="s">
        <v>26</v>
      </c>
      <c r="F3" s="18" t="s">
        <v>27</v>
      </c>
      <c r="G3" s="18">
        <v>1.0</v>
      </c>
      <c r="H3" s="22">
        <v>2.0</v>
      </c>
      <c r="I3" s="22">
        <v>2.0</v>
      </c>
      <c r="J3" s="24"/>
      <c r="K3" s="16" t="s">
        <v>18</v>
      </c>
      <c r="L3" s="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23">
        <v>45734.0</v>
      </c>
      <c r="B4" s="26" t="str">
        <f t="shared" si="1"/>
        <v>martes</v>
      </c>
      <c r="C4" s="42" t="s">
        <v>13</v>
      </c>
      <c r="D4" s="42">
        <v>2.0</v>
      </c>
      <c r="E4" s="42" t="s">
        <v>15</v>
      </c>
      <c r="F4" s="18" t="s">
        <v>27</v>
      </c>
      <c r="G4" s="42">
        <v>2.0</v>
      </c>
      <c r="H4" s="46">
        <v>2.0</v>
      </c>
      <c r="I4" s="46">
        <v>2.0</v>
      </c>
      <c r="J4" s="48"/>
      <c r="K4" s="28" t="s">
        <v>34</v>
      </c>
      <c r="L4" s="9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30">
        <v>45736.0</v>
      </c>
      <c r="B5" s="32" t="str">
        <f t="shared" si="1"/>
        <v>jueves</v>
      </c>
      <c r="C5" s="52" t="s">
        <v>13</v>
      </c>
      <c r="D5" s="52">
        <v>2.0</v>
      </c>
      <c r="E5" s="52" t="s">
        <v>42</v>
      </c>
      <c r="F5" s="52" t="s">
        <v>43</v>
      </c>
      <c r="G5" s="52">
        <v>3.0</v>
      </c>
      <c r="H5" s="55">
        <v>2.0</v>
      </c>
      <c r="I5" s="57"/>
      <c r="J5" s="55">
        <v>2.0</v>
      </c>
      <c r="K5" s="34" t="s">
        <v>24</v>
      </c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36">
        <v>45740.0</v>
      </c>
      <c r="B6" s="38" t="str">
        <f t="shared" si="1"/>
        <v>lunes</v>
      </c>
      <c r="C6" s="63" t="s">
        <v>25</v>
      </c>
      <c r="D6" s="63">
        <v>3.0</v>
      </c>
      <c r="E6" s="63"/>
      <c r="F6" s="63" t="s">
        <v>27</v>
      </c>
      <c r="G6" s="63" t="s">
        <v>19</v>
      </c>
      <c r="H6" s="66" t="s">
        <v>19</v>
      </c>
      <c r="I6" s="66" t="s">
        <v>19</v>
      </c>
      <c r="J6" s="66"/>
      <c r="K6" s="39" t="s">
        <v>28</v>
      </c>
      <c r="L6" s="9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23">
        <v>45741.0</v>
      </c>
      <c r="B7" s="26" t="str">
        <f t="shared" si="1"/>
        <v>martes</v>
      </c>
      <c r="C7" s="42" t="s">
        <v>13</v>
      </c>
      <c r="D7" s="42">
        <v>3.0</v>
      </c>
      <c r="E7" s="42" t="s">
        <v>15</v>
      </c>
      <c r="F7" s="18" t="s">
        <v>27</v>
      </c>
      <c r="G7" s="42">
        <v>4.0</v>
      </c>
      <c r="H7" s="46">
        <v>2.0</v>
      </c>
      <c r="I7" s="46">
        <v>2.0</v>
      </c>
      <c r="J7" s="48"/>
      <c r="K7" s="28" t="s">
        <v>61</v>
      </c>
      <c r="L7" s="9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30">
        <v>45743.0</v>
      </c>
      <c r="B8" s="32" t="str">
        <f t="shared" si="1"/>
        <v>jueves</v>
      </c>
      <c r="C8" s="52" t="s">
        <v>13</v>
      </c>
      <c r="D8" s="52">
        <v>3.0</v>
      </c>
      <c r="E8" s="52" t="s">
        <v>42</v>
      </c>
      <c r="F8" s="52" t="s">
        <v>43</v>
      </c>
      <c r="G8" s="52">
        <v>5.0</v>
      </c>
      <c r="H8" s="55">
        <v>2.0</v>
      </c>
      <c r="I8" s="55"/>
      <c r="J8" s="55">
        <v>2.0</v>
      </c>
      <c r="K8" s="34" t="s">
        <v>68</v>
      </c>
      <c r="L8" s="89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3">
        <v>45747.0</v>
      </c>
      <c r="B9" s="26" t="str">
        <f t="shared" si="1"/>
        <v>lunes</v>
      </c>
      <c r="C9" s="18" t="s">
        <v>25</v>
      </c>
      <c r="D9" s="42">
        <v>4.0</v>
      </c>
      <c r="E9" s="18" t="s">
        <v>26</v>
      </c>
      <c r="F9" s="18" t="s">
        <v>27</v>
      </c>
      <c r="G9" s="42">
        <v>6.0</v>
      </c>
      <c r="H9" s="46">
        <v>2.0</v>
      </c>
      <c r="I9" s="46">
        <v>2.0</v>
      </c>
      <c r="J9" s="46"/>
      <c r="K9" s="28" t="s">
        <v>40</v>
      </c>
      <c r="L9" s="9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53">
        <v>45748.0</v>
      </c>
      <c r="B10" s="26" t="str">
        <f t="shared" si="1"/>
        <v>martes</v>
      </c>
      <c r="C10" s="42" t="s">
        <v>13</v>
      </c>
      <c r="D10" s="42">
        <v>4.0</v>
      </c>
      <c r="E10" s="42" t="s">
        <v>15</v>
      </c>
      <c r="F10" s="18" t="s">
        <v>27</v>
      </c>
      <c r="G10" s="42">
        <v>7.0</v>
      </c>
      <c r="H10" s="46">
        <v>2.0</v>
      </c>
      <c r="I10" s="46">
        <v>2.0</v>
      </c>
      <c r="J10" s="48"/>
      <c r="K10" s="28" t="s">
        <v>46</v>
      </c>
      <c r="L10" s="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30">
        <v>45750.0</v>
      </c>
      <c r="B11" s="32" t="str">
        <f t="shared" si="1"/>
        <v>jueves</v>
      </c>
      <c r="C11" s="52" t="s">
        <v>13</v>
      </c>
      <c r="D11" s="52">
        <v>4.0</v>
      </c>
      <c r="E11" s="52" t="s">
        <v>42</v>
      </c>
      <c r="F11" s="52" t="s">
        <v>43</v>
      </c>
      <c r="G11" s="52">
        <v>8.0</v>
      </c>
      <c r="H11" s="55">
        <v>2.0</v>
      </c>
      <c r="I11" s="57"/>
      <c r="J11" s="55">
        <v>2.0</v>
      </c>
      <c r="K11" s="34" t="s">
        <v>81</v>
      </c>
      <c r="L11" s="10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23">
        <v>45754.0</v>
      </c>
      <c r="B12" s="26" t="str">
        <f t="shared" si="1"/>
        <v>lunes</v>
      </c>
      <c r="C12" s="18" t="s">
        <v>25</v>
      </c>
      <c r="D12" s="42">
        <v>5.0</v>
      </c>
      <c r="E12" s="18" t="s">
        <v>26</v>
      </c>
      <c r="F12" s="18" t="s">
        <v>27</v>
      </c>
      <c r="G12" s="42">
        <v>9.0</v>
      </c>
      <c r="H12" s="46">
        <v>2.0</v>
      </c>
      <c r="I12" s="46">
        <v>2.0</v>
      </c>
      <c r="J12" s="46"/>
      <c r="K12" s="28" t="s">
        <v>91</v>
      </c>
      <c r="L12" s="113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</row>
    <row r="13">
      <c r="A13" s="23">
        <v>45755.0</v>
      </c>
      <c r="B13" s="26" t="str">
        <f t="shared" si="1"/>
        <v>martes</v>
      </c>
      <c r="C13" s="42" t="s">
        <v>13</v>
      </c>
      <c r="D13" s="42">
        <v>5.0</v>
      </c>
      <c r="E13" s="42" t="s">
        <v>15</v>
      </c>
      <c r="F13" s="18" t="s">
        <v>27</v>
      </c>
      <c r="G13" s="42">
        <v>10.0</v>
      </c>
      <c r="H13" s="46">
        <v>2.0</v>
      </c>
      <c r="I13" s="48">
        <v>2.0</v>
      </c>
      <c r="J13" s="48"/>
      <c r="K13" s="28" t="s">
        <v>54</v>
      </c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30">
        <v>45757.0</v>
      </c>
      <c r="B14" s="32" t="str">
        <f t="shared" si="1"/>
        <v>jueves</v>
      </c>
      <c r="C14" s="52" t="s">
        <v>13</v>
      </c>
      <c r="D14" s="52">
        <v>5.0</v>
      </c>
      <c r="E14" s="52" t="s">
        <v>42</v>
      </c>
      <c r="F14" s="52" t="s">
        <v>43</v>
      </c>
      <c r="G14" s="52">
        <v>11.0</v>
      </c>
      <c r="H14" s="55">
        <v>2.0</v>
      </c>
      <c r="I14" s="57"/>
      <c r="J14" s="55">
        <v>2.0</v>
      </c>
      <c r="K14" s="34" t="s">
        <v>109</v>
      </c>
      <c r="L14" s="8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3">
        <v>45761.0</v>
      </c>
      <c r="B15" s="26" t="str">
        <f t="shared" si="1"/>
        <v>lunes</v>
      </c>
      <c r="C15" s="18" t="s">
        <v>25</v>
      </c>
      <c r="D15" s="42">
        <v>6.0</v>
      </c>
      <c r="E15" s="18" t="s">
        <v>26</v>
      </c>
      <c r="F15" s="18" t="s">
        <v>27</v>
      </c>
      <c r="G15" s="42">
        <v>12.0</v>
      </c>
      <c r="H15" s="46">
        <v>2.0</v>
      </c>
      <c r="I15" s="46">
        <v>2.0</v>
      </c>
      <c r="J15" s="48"/>
      <c r="K15" s="28" t="s">
        <v>113</v>
      </c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3">
        <v>45762.0</v>
      </c>
      <c r="B16" s="26" t="str">
        <f t="shared" si="1"/>
        <v>martes</v>
      </c>
      <c r="C16" s="42" t="s">
        <v>13</v>
      </c>
      <c r="D16" s="42">
        <v>6.0</v>
      </c>
      <c r="E16" s="42" t="s">
        <v>15</v>
      </c>
      <c r="F16" s="18" t="s">
        <v>27</v>
      </c>
      <c r="G16" s="42">
        <v>13.0</v>
      </c>
      <c r="H16" s="46">
        <v>2.0</v>
      </c>
      <c r="I16" s="48">
        <v>2.0</v>
      </c>
      <c r="J16" s="48"/>
      <c r="K16" s="28" t="s">
        <v>117</v>
      </c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30">
        <v>45764.0</v>
      </c>
      <c r="B17" s="32" t="str">
        <f t="shared" si="1"/>
        <v>jueves</v>
      </c>
      <c r="C17" s="52" t="s">
        <v>13</v>
      </c>
      <c r="D17" s="52">
        <v>6.0</v>
      </c>
      <c r="E17" s="52" t="s">
        <v>42</v>
      </c>
      <c r="F17" s="52" t="s">
        <v>43</v>
      </c>
      <c r="G17" s="52">
        <v>14.0</v>
      </c>
      <c r="H17" s="55">
        <v>2.0</v>
      </c>
      <c r="I17" s="57"/>
      <c r="J17" s="55">
        <v>2.0</v>
      </c>
      <c r="K17" s="34" t="s">
        <v>122</v>
      </c>
      <c r="L17" s="145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86">
        <v>45768.0</v>
      </c>
      <c r="B18" s="87" t="str">
        <f t="shared" si="1"/>
        <v>lunes</v>
      </c>
      <c r="C18" s="147" t="s">
        <v>25</v>
      </c>
      <c r="D18" s="147">
        <v>7.0</v>
      </c>
      <c r="E18" s="147" t="s">
        <v>26</v>
      </c>
      <c r="F18" s="147" t="s">
        <v>16</v>
      </c>
      <c r="G18" s="147">
        <v>15.0</v>
      </c>
      <c r="H18" s="149">
        <v>2.0</v>
      </c>
      <c r="I18" s="150">
        <v>2.0</v>
      </c>
      <c r="J18" s="150"/>
      <c r="K18" s="118" t="s">
        <v>125</v>
      </c>
      <c r="L18" s="106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23">
        <v>45769.0</v>
      </c>
      <c r="B19" s="26" t="str">
        <f t="shared" si="1"/>
        <v>martes</v>
      </c>
      <c r="C19" s="42" t="s">
        <v>13</v>
      </c>
      <c r="D19" s="42">
        <v>7.0</v>
      </c>
      <c r="E19" s="42" t="s">
        <v>15</v>
      </c>
      <c r="F19" s="42" t="s">
        <v>27</v>
      </c>
      <c r="G19" s="42">
        <v>16.0</v>
      </c>
      <c r="H19" s="46">
        <v>2.0</v>
      </c>
      <c r="I19" s="48">
        <v>2.0</v>
      </c>
      <c r="J19" s="48"/>
      <c r="K19" s="28" t="s">
        <v>131</v>
      </c>
      <c r="L19" s="152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</row>
    <row r="20">
      <c r="A20" s="30">
        <v>45771.0</v>
      </c>
      <c r="B20" s="32" t="str">
        <f t="shared" si="1"/>
        <v>jueves</v>
      </c>
      <c r="C20" s="52" t="s">
        <v>13</v>
      </c>
      <c r="D20" s="52">
        <v>7.0</v>
      </c>
      <c r="E20" s="52" t="s">
        <v>42</v>
      </c>
      <c r="F20" s="52" t="s">
        <v>43</v>
      </c>
      <c r="G20" s="52">
        <v>17.0</v>
      </c>
      <c r="H20" s="55">
        <v>2.0</v>
      </c>
      <c r="I20" s="57"/>
      <c r="J20" s="57">
        <v>2.0</v>
      </c>
      <c r="K20" s="34" t="s">
        <v>136</v>
      </c>
      <c r="L20" s="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3">
        <v>45775.0</v>
      </c>
      <c r="B21" s="26" t="str">
        <f t="shared" si="1"/>
        <v>lunes</v>
      </c>
      <c r="C21" s="42" t="s">
        <v>25</v>
      </c>
      <c r="D21" s="42">
        <v>8.0</v>
      </c>
      <c r="E21" s="42" t="s">
        <v>26</v>
      </c>
      <c r="F21" s="42" t="s">
        <v>27</v>
      </c>
      <c r="G21" s="42">
        <v>18.0</v>
      </c>
      <c r="H21" s="46">
        <v>2.0</v>
      </c>
      <c r="I21" s="48">
        <v>2.0</v>
      </c>
      <c r="J21" s="48"/>
      <c r="K21" s="28" t="s">
        <v>138</v>
      </c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23">
        <v>45776.0</v>
      </c>
      <c r="B22" s="26" t="str">
        <f t="shared" si="1"/>
        <v>martes</v>
      </c>
      <c r="C22" s="42" t="s">
        <v>13</v>
      </c>
      <c r="D22" s="42">
        <v>8.0</v>
      </c>
      <c r="E22" s="42" t="s">
        <v>15</v>
      </c>
      <c r="F22" s="18" t="s">
        <v>27</v>
      </c>
      <c r="G22" s="42">
        <v>19.0</v>
      </c>
      <c r="H22" s="46">
        <v>2.0</v>
      </c>
      <c r="I22" s="48">
        <v>2.0</v>
      </c>
      <c r="J22" s="48"/>
      <c r="K22" s="28" t="s">
        <v>72</v>
      </c>
      <c r="L22" s="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36">
        <v>45778.0</v>
      </c>
      <c r="B23" s="38" t="str">
        <f t="shared" si="1"/>
        <v>jueves</v>
      </c>
      <c r="C23" s="63" t="s">
        <v>13</v>
      </c>
      <c r="D23" s="63">
        <v>8.0</v>
      </c>
      <c r="E23" s="63"/>
      <c r="F23" s="63" t="s">
        <v>43</v>
      </c>
      <c r="G23" s="63" t="s">
        <v>19</v>
      </c>
      <c r="H23" s="66" t="s">
        <v>19</v>
      </c>
      <c r="I23" s="158"/>
      <c r="J23" s="66" t="s">
        <v>19</v>
      </c>
      <c r="K23" s="39" t="s">
        <v>28</v>
      </c>
      <c r="L23" s="15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3">
        <v>45782.0</v>
      </c>
      <c r="B24" s="26" t="str">
        <f t="shared" si="1"/>
        <v>lunes</v>
      </c>
      <c r="C24" s="18" t="s">
        <v>25</v>
      </c>
      <c r="D24" s="42">
        <v>9.0</v>
      </c>
      <c r="E24" s="18" t="s">
        <v>26</v>
      </c>
      <c r="F24" s="18" t="s">
        <v>27</v>
      </c>
      <c r="G24" s="42">
        <v>20.0</v>
      </c>
      <c r="H24" s="46">
        <v>2.0</v>
      </c>
      <c r="I24" s="48">
        <v>2.0</v>
      </c>
      <c r="J24" s="48"/>
      <c r="K24" s="28" t="s">
        <v>147</v>
      </c>
      <c r="L24" s="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3">
        <v>45783.0</v>
      </c>
      <c r="B25" s="26" t="str">
        <f t="shared" si="1"/>
        <v>martes</v>
      </c>
      <c r="C25" s="42" t="s">
        <v>13</v>
      </c>
      <c r="D25" s="42">
        <v>9.0</v>
      </c>
      <c r="E25" s="42" t="s">
        <v>15</v>
      </c>
      <c r="F25" s="18" t="s">
        <v>27</v>
      </c>
      <c r="G25" s="42">
        <v>21.0</v>
      </c>
      <c r="H25" s="46">
        <v>2.0</v>
      </c>
      <c r="I25" s="48">
        <v>2.0</v>
      </c>
      <c r="J25" s="48"/>
      <c r="K25" s="28" t="s">
        <v>149</v>
      </c>
      <c r="L25" s="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30">
        <v>45785.0</v>
      </c>
      <c r="B26" s="32" t="str">
        <f t="shared" si="1"/>
        <v>jueves</v>
      </c>
      <c r="C26" s="52" t="s">
        <v>13</v>
      </c>
      <c r="D26" s="52">
        <v>9.0</v>
      </c>
      <c r="E26" s="52" t="s">
        <v>42</v>
      </c>
      <c r="F26" s="52" t="s">
        <v>43</v>
      </c>
      <c r="G26" s="52">
        <v>22.0</v>
      </c>
      <c r="H26" s="55">
        <v>2.0</v>
      </c>
      <c r="I26" s="57"/>
      <c r="J26" s="57">
        <v>2.0</v>
      </c>
      <c r="K26" s="34" t="s">
        <v>152</v>
      </c>
      <c r="L26" s="8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3">
        <v>45789.0</v>
      </c>
      <c r="B27" s="26" t="str">
        <f t="shared" si="1"/>
        <v>lunes</v>
      </c>
      <c r="C27" s="18" t="s">
        <v>25</v>
      </c>
      <c r="D27" s="42">
        <v>10.0</v>
      </c>
      <c r="E27" s="18" t="s">
        <v>26</v>
      </c>
      <c r="F27" s="42" t="s">
        <v>27</v>
      </c>
      <c r="G27" s="42">
        <v>23.0</v>
      </c>
      <c r="H27" s="46">
        <v>2.0</v>
      </c>
      <c r="I27" s="48">
        <v>2.0</v>
      </c>
      <c r="J27" s="48"/>
      <c r="K27" s="28" t="s">
        <v>155</v>
      </c>
      <c r="L27" s="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3">
        <v>45790.0</v>
      </c>
      <c r="B28" s="26" t="str">
        <f t="shared" si="1"/>
        <v>martes</v>
      </c>
      <c r="C28" s="42" t="s">
        <v>13</v>
      </c>
      <c r="D28" s="42">
        <v>10.0</v>
      </c>
      <c r="E28" s="42" t="s">
        <v>15</v>
      </c>
      <c r="F28" s="18" t="s">
        <v>27</v>
      </c>
      <c r="G28" s="42">
        <v>24.0</v>
      </c>
      <c r="H28" s="46">
        <v>2.0</v>
      </c>
      <c r="I28" s="48">
        <v>2.0</v>
      </c>
      <c r="J28" s="48"/>
      <c r="K28" s="28" t="s">
        <v>157</v>
      </c>
      <c r="L28" s="9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30">
        <v>45792.0</v>
      </c>
      <c r="B29" s="32" t="str">
        <f t="shared" si="1"/>
        <v>jueves</v>
      </c>
      <c r="C29" s="52" t="s">
        <v>13</v>
      </c>
      <c r="D29" s="52">
        <v>10.0</v>
      </c>
      <c r="E29" s="52" t="s">
        <v>42</v>
      </c>
      <c r="F29" s="52" t="s">
        <v>43</v>
      </c>
      <c r="G29" s="52">
        <v>25.0</v>
      </c>
      <c r="H29" s="55">
        <v>2.0</v>
      </c>
      <c r="I29" s="57"/>
      <c r="J29" s="57">
        <v>2.0</v>
      </c>
      <c r="K29" s="34" t="s">
        <v>159</v>
      </c>
      <c r="L29" s="9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181">
        <v>45796.0</v>
      </c>
      <c r="B30" s="182" t="str">
        <f t="shared" si="1"/>
        <v>lunes</v>
      </c>
      <c r="C30" s="183" t="s">
        <v>25</v>
      </c>
      <c r="D30" s="183">
        <v>11.0</v>
      </c>
      <c r="E30" s="183" t="s">
        <v>26</v>
      </c>
      <c r="F30" s="183" t="s">
        <v>27</v>
      </c>
      <c r="G30" s="183">
        <v>26.0</v>
      </c>
      <c r="H30" s="184">
        <v>2.0</v>
      </c>
      <c r="I30" s="185">
        <v>2.0</v>
      </c>
      <c r="J30" s="185"/>
      <c r="K30" s="186" t="s">
        <v>86</v>
      </c>
      <c r="L30" s="9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181">
        <v>45797.0</v>
      </c>
      <c r="B31" s="182" t="str">
        <f t="shared" si="1"/>
        <v>martes</v>
      </c>
      <c r="C31" s="183" t="s">
        <v>13</v>
      </c>
      <c r="D31" s="183">
        <v>11.0</v>
      </c>
      <c r="E31" s="183" t="s">
        <v>15</v>
      </c>
      <c r="F31" s="183" t="s">
        <v>27</v>
      </c>
      <c r="G31" s="183">
        <v>27.0</v>
      </c>
      <c r="H31" s="184">
        <v>2.0</v>
      </c>
      <c r="I31" s="185">
        <v>2.0</v>
      </c>
      <c r="J31" s="185"/>
      <c r="K31" s="186" t="s">
        <v>90</v>
      </c>
      <c r="L31" s="9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181">
        <v>45799.0</v>
      </c>
      <c r="B32" s="182" t="str">
        <f t="shared" si="1"/>
        <v>jueves</v>
      </c>
      <c r="C32" s="183" t="s">
        <v>13</v>
      </c>
      <c r="D32" s="183">
        <v>11.0</v>
      </c>
      <c r="E32" s="183" t="s">
        <v>42</v>
      </c>
      <c r="F32" s="183" t="s">
        <v>43</v>
      </c>
      <c r="G32" s="183">
        <v>28.0</v>
      </c>
      <c r="H32" s="184">
        <v>2.0</v>
      </c>
      <c r="I32" s="185"/>
      <c r="J32" s="185">
        <v>2.0</v>
      </c>
      <c r="K32" s="186" t="s">
        <v>161</v>
      </c>
      <c r="L32" s="9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44">
        <v>45803.0</v>
      </c>
      <c r="B33" s="26" t="str">
        <f t="shared" si="1"/>
        <v>lunes</v>
      </c>
      <c r="C33" s="18" t="s">
        <v>25</v>
      </c>
      <c r="D33" s="42">
        <v>12.0</v>
      </c>
      <c r="E33" s="18" t="s">
        <v>26</v>
      </c>
      <c r="F33" s="18" t="s">
        <v>27</v>
      </c>
      <c r="G33" s="42">
        <v>28.0</v>
      </c>
      <c r="H33" s="46">
        <v>2.0</v>
      </c>
      <c r="I33" s="48">
        <v>2.0</v>
      </c>
      <c r="J33" s="46"/>
      <c r="K33" s="28" t="s">
        <v>162</v>
      </c>
      <c r="L33" s="19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>
      <c r="A34" s="44">
        <v>45804.0</v>
      </c>
      <c r="B34" s="26" t="str">
        <f t="shared" si="1"/>
        <v>martes</v>
      </c>
      <c r="C34" s="42" t="s">
        <v>13</v>
      </c>
      <c r="D34" s="42">
        <v>12.0</v>
      </c>
      <c r="E34" s="42" t="s">
        <v>15</v>
      </c>
      <c r="F34" s="18" t="s">
        <v>27</v>
      </c>
      <c r="G34" s="42">
        <v>29.0</v>
      </c>
      <c r="H34" s="46">
        <v>2.0</v>
      </c>
      <c r="I34" s="48">
        <v>2.0</v>
      </c>
      <c r="J34" s="48"/>
      <c r="K34" s="28" t="s">
        <v>165</v>
      </c>
      <c r="L34" s="159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54">
        <v>45806.0</v>
      </c>
      <c r="B35" s="32" t="str">
        <f t="shared" si="1"/>
        <v>jueves</v>
      </c>
      <c r="C35" s="52" t="s">
        <v>13</v>
      </c>
      <c r="D35" s="52">
        <v>12.0</v>
      </c>
      <c r="E35" s="52" t="s">
        <v>42</v>
      </c>
      <c r="F35" s="52" t="s">
        <v>43</v>
      </c>
      <c r="G35" s="52">
        <v>30.0</v>
      </c>
      <c r="H35" s="55">
        <v>2.0</v>
      </c>
      <c r="I35" s="57"/>
      <c r="J35" s="57">
        <v>2.0</v>
      </c>
      <c r="K35" s="34" t="s">
        <v>164</v>
      </c>
      <c r="L35" s="159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117">
        <v>45810.0</v>
      </c>
      <c r="B36" s="87" t="str">
        <f t="shared" si="1"/>
        <v>lunes</v>
      </c>
      <c r="C36" s="147" t="s">
        <v>25</v>
      </c>
      <c r="D36" s="147">
        <v>13.0</v>
      </c>
      <c r="E36" s="147" t="s">
        <v>26</v>
      </c>
      <c r="F36" s="147" t="s">
        <v>16</v>
      </c>
      <c r="G36" s="147">
        <v>31.0</v>
      </c>
      <c r="H36" s="149">
        <v>2.0</v>
      </c>
      <c r="I36" s="150">
        <v>2.0</v>
      </c>
      <c r="J36" s="150"/>
      <c r="K36" s="118" t="s">
        <v>100</v>
      </c>
      <c r="L36" s="15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44">
        <v>45811.0</v>
      </c>
      <c r="B37" s="26" t="str">
        <f t="shared" si="1"/>
        <v>martes</v>
      </c>
      <c r="C37" s="42" t="s">
        <v>13</v>
      </c>
      <c r="D37" s="42">
        <v>13.0</v>
      </c>
      <c r="E37" s="42" t="s">
        <v>15</v>
      </c>
      <c r="F37" s="42" t="s">
        <v>27</v>
      </c>
      <c r="G37" s="42">
        <v>32.0</v>
      </c>
      <c r="H37" s="46">
        <v>2.0</v>
      </c>
      <c r="I37" s="48">
        <v>2.0</v>
      </c>
      <c r="J37" s="48"/>
      <c r="K37" s="28" t="s">
        <v>169</v>
      </c>
      <c r="L37" s="9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54">
        <v>45813.0</v>
      </c>
      <c r="B38" s="32" t="str">
        <f t="shared" si="1"/>
        <v>jueves</v>
      </c>
      <c r="C38" s="52" t="s">
        <v>13</v>
      </c>
      <c r="D38" s="52">
        <v>13.0</v>
      </c>
      <c r="E38" s="52" t="s">
        <v>42</v>
      </c>
      <c r="F38" s="52" t="s">
        <v>43</v>
      </c>
      <c r="G38" s="52">
        <v>33.0</v>
      </c>
      <c r="H38" s="55">
        <v>2.0</v>
      </c>
      <c r="I38" s="57"/>
      <c r="J38" s="57">
        <v>2.0</v>
      </c>
      <c r="K38" s="34" t="s">
        <v>171</v>
      </c>
      <c r="L38" s="89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44">
        <v>45817.0</v>
      </c>
      <c r="B39" s="26" t="str">
        <f t="shared" si="1"/>
        <v>lunes</v>
      </c>
      <c r="C39" s="42" t="s">
        <v>13</v>
      </c>
      <c r="D39" s="42">
        <v>14.0</v>
      </c>
      <c r="E39" s="42" t="s">
        <v>26</v>
      </c>
      <c r="F39" s="42" t="s">
        <v>27</v>
      </c>
      <c r="G39" s="42">
        <v>34.0</v>
      </c>
      <c r="H39" s="46">
        <v>2.0</v>
      </c>
      <c r="I39" s="48">
        <v>2.0</v>
      </c>
      <c r="J39" s="48"/>
      <c r="K39" s="28" t="s">
        <v>173</v>
      </c>
      <c r="L39" s="9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65">
        <v>45818.0</v>
      </c>
      <c r="B40" s="26" t="str">
        <f t="shared" si="1"/>
        <v>martes</v>
      </c>
      <c r="C40" s="42" t="s">
        <v>13</v>
      </c>
      <c r="D40" s="42">
        <v>14.0</v>
      </c>
      <c r="E40" s="42" t="s">
        <v>15</v>
      </c>
      <c r="F40" s="42" t="s">
        <v>27</v>
      </c>
      <c r="G40" s="42">
        <v>35.0</v>
      </c>
      <c r="H40" s="46">
        <v>2.0</v>
      </c>
      <c r="I40" s="48">
        <v>2.0</v>
      </c>
      <c r="J40" s="48"/>
      <c r="K40" s="28" t="s">
        <v>174</v>
      </c>
      <c r="L40" s="9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117">
        <v>45821.0</v>
      </c>
      <c r="B41" s="87" t="str">
        <f t="shared" si="1"/>
        <v>viernes</v>
      </c>
      <c r="C41" s="147" t="s">
        <v>13</v>
      </c>
      <c r="D41" s="147">
        <v>14.0</v>
      </c>
      <c r="E41" s="147" t="s">
        <v>26</v>
      </c>
      <c r="F41" s="147" t="s">
        <v>16</v>
      </c>
      <c r="G41" s="147">
        <v>36.0</v>
      </c>
      <c r="H41" s="149">
        <v>2.0</v>
      </c>
      <c r="I41" s="149">
        <v>2.0</v>
      </c>
      <c r="J41" s="150"/>
      <c r="K41" s="131" t="s">
        <v>110</v>
      </c>
      <c r="L41" s="9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4"/>
      <c r="L42" s="9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136" t="s">
        <v>112</v>
      </c>
      <c r="B43" s="138"/>
      <c r="C43" s="138"/>
      <c r="D43" s="138"/>
      <c r="E43" s="138"/>
      <c r="F43" s="138"/>
      <c r="G43" s="138"/>
      <c r="H43" s="1">
        <f t="shared" ref="H43:J43" si="2">SUM(H2:H41)</f>
        <v>74</v>
      </c>
      <c r="I43" s="1">
        <f t="shared" si="2"/>
        <v>52</v>
      </c>
      <c r="J43" s="1">
        <f t="shared" si="2"/>
        <v>22</v>
      </c>
      <c r="K43" s="28"/>
      <c r="L43" s="9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9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9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9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9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9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9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9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9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9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9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9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9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9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9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9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9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9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9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9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9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9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9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9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9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9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9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9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9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9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9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9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9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9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9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9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9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9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9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9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9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9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9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9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9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9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9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9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9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9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9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9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9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9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9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9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9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9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9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9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9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9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9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9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9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9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9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9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9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9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9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9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9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9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9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9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9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9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9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9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9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9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9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9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9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9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9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9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9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9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9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9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9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9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9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9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9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9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9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9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9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9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9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9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9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9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9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9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9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9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9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9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9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9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9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9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9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9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9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9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9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9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9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9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9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9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9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9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9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9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9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9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9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9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9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9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9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9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9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9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9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9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9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9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9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9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9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9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9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9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9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9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9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9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9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9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9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9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9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9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9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9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9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9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9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9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9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9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9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9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9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9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9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9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9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9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9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9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9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9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9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9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9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9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9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9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9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9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9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9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9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9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9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9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9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9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9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9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9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9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9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9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9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9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9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9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9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9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9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9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9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9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9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9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9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9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9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9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9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9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9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9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9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9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9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9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9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9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9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9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9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9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9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9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9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9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9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9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9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9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9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9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9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9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9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9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9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9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9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9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9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9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9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9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9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9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9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9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9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9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9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9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9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9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9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9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9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9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9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9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9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9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9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9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9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9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9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9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9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9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9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9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9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9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9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9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9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9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9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9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9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9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9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9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9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9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9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9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9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9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9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9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9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9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9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9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9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9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9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9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9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9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9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9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9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9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9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9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9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9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9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9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9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9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9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9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9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9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9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9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9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9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9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9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9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9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9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9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9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9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9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9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9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9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9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9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9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9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9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9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9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9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9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9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9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9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9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9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9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9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9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9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9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9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9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9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9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9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9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9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9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9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9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9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9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9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9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9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9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9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9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9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9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9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9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9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9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9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9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9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9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9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9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9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9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9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9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9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9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9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9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9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9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9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9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9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9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9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9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9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9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9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9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9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9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9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9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9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9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9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9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9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9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9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9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9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9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9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9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9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9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9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9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9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9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9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9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9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9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9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9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9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9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9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9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9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9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9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9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9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9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9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9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9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9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9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9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9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9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9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9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9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9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9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9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9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9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9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9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9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9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9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9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9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9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9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9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9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9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9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9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9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9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9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9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9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9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9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9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9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9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9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9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9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9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9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9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9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9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9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9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9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9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9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9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9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9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9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9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9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9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9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9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9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9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9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9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9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9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9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9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9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9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9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9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9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9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9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9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9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9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9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9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9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9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9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9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9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9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9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9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9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9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9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9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9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9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9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9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9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9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9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9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9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9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9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9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9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9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9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9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9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9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9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9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9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9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9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9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9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9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9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9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9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9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9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9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9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9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9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9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9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9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9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9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9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9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9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9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9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9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9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9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9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9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9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9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9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9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9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9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9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9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9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9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9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9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9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9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9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9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9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9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9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9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9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9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9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9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9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9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9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9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9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9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9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9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9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9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9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9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9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9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9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9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9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9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9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9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9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9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9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9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9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9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9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9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9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9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9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9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9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9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9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9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9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9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9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9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9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9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9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9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9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9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9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9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9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9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9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9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9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9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9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9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9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9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9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9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9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9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9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9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9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9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9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9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9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9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9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9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9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9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9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9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9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9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9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9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9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9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9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9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9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9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9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9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9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9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9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9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9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9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9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9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9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9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9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9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9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9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9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9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9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9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9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9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9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9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9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9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9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9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9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9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9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9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9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9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9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9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9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9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9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9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9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9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9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9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9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9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9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9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9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9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9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9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9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9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9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9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9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9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9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9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9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9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9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9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9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9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9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9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9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9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9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9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9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9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9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9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9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9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9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9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9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9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9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9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9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9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9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9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9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9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9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9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9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9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9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9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9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9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9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9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9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9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9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9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9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9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9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9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9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9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9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9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9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9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9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9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9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9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9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9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9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9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9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9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9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9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9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9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9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9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9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9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9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9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9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9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9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9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9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9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9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9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9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9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9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9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9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9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9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9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9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9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9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9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9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9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9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9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9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9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9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9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9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9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9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9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9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9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9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9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9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9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9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9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9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9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9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9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9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9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9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9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9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9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9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9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9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9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9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9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9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9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9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9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9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9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9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9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9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9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9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9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9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9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9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9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9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9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9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9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9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9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9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9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9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9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9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9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9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9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9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9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9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9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9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9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9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9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9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9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9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9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9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10"/>
      <c r="L995" s="228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  <c r="AB995" s="227"/>
      <c r="AC995" s="227"/>
    </row>
    <row r="996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10"/>
      <c r="L996" s="228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  <c r="AB996" s="227"/>
      <c r="AC996" s="227"/>
    </row>
    <row r="997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10"/>
      <c r="L997" s="228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  <c r="AB997" s="227"/>
      <c r="AC997" s="227"/>
    </row>
    <row r="998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10"/>
      <c r="L998" s="228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  <c r="AB998" s="227"/>
      <c r="AC998" s="227"/>
    </row>
    <row r="999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8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  <c r="AB999" s="227"/>
      <c r="AC999" s="227"/>
    </row>
    <row r="1000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8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  <c r="AB1000" s="227"/>
      <c r="AC1000" s="227"/>
    </row>
    <row r="1001">
      <c r="A1001" s="227"/>
      <c r="B1001" s="227"/>
      <c r="C1001" s="227"/>
      <c r="D1001" s="227"/>
      <c r="E1001" s="227"/>
      <c r="F1001" s="227"/>
      <c r="G1001" s="227"/>
      <c r="H1001" s="227"/>
      <c r="I1001" s="227"/>
      <c r="J1001" s="227"/>
      <c r="K1001" s="227"/>
      <c r="L1001" s="228"/>
      <c r="M1001" s="227"/>
      <c r="N1001" s="227"/>
      <c r="O1001" s="227"/>
      <c r="P1001" s="227"/>
      <c r="Q1001" s="227"/>
      <c r="R1001" s="227"/>
      <c r="S1001" s="227"/>
      <c r="T1001" s="227"/>
      <c r="U1001" s="227"/>
      <c r="V1001" s="227"/>
      <c r="W1001" s="227"/>
      <c r="X1001" s="227"/>
      <c r="Y1001" s="227"/>
      <c r="Z1001" s="227"/>
      <c r="AA1001" s="227"/>
      <c r="AB1001" s="227"/>
      <c r="AC1001" s="227"/>
    </row>
    <row r="1002">
      <c r="A1002" s="227"/>
      <c r="B1002" s="227"/>
      <c r="C1002" s="227"/>
      <c r="D1002" s="227"/>
      <c r="E1002" s="227"/>
      <c r="F1002" s="227"/>
      <c r="G1002" s="227"/>
      <c r="H1002" s="227"/>
      <c r="I1002" s="227"/>
      <c r="J1002" s="227"/>
      <c r="K1002" s="227"/>
      <c r="L1002" s="228"/>
      <c r="M1002" s="227"/>
      <c r="N1002" s="227"/>
      <c r="O1002" s="227"/>
      <c r="P1002" s="227"/>
      <c r="Q1002" s="227"/>
      <c r="R1002" s="227"/>
      <c r="S1002" s="227"/>
      <c r="T1002" s="227"/>
      <c r="U1002" s="227"/>
      <c r="V1002" s="227"/>
      <c r="W1002" s="227"/>
      <c r="X1002" s="227"/>
      <c r="Y1002" s="227"/>
      <c r="Z1002" s="227"/>
      <c r="AA1002" s="227"/>
      <c r="AB1002" s="227"/>
      <c r="AC1002" s="227"/>
    </row>
    <row r="1003">
      <c r="A1003" s="227"/>
      <c r="B1003" s="227"/>
      <c r="C1003" s="227"/>
      <c r="D1003" s="227"/>
      <c r="E1003" s="227"/>
      <c r="F1003" s="227"/>
      <c r="G1003" s="227"/>
      <c r="H1003" s="227"/>
      <c r="I1003" s="227"/>
      <c r="J1003" s="227"/>
      <c r="K1003" s="227"/>
      <c r="L1003" s="228"/>
      <c r="M1003" s="227"/>
      <c r="N1003" s="227"/>
      <c r="O1003" s="227"/>
      <c r="P1003" s="227"/>
      <c r="Q1003" s="227"/>
      <c r="R1003" s="227"/>
      <c r="S1003" s="227"/>
      <c r="T1003" s="227"/>
      <c r="U1003" s="227"/>
      <c r="V1003" s="227"/>
      <c r="W1003" s="227"/>
      <c r="X1003" s="227"/>
      <c r="Y1003" s="227"/>
      <c r="Z1003" s="227"/>
      <c r="AA1003" s="227"/>
      <c r="AB1003" s="227"/>
      <c r="AC1003" s="227"/>
    </row>
    <row r="1004">
      <c r="A1004" s="227"/>
      <c r="B1004" s="227"/>
      <c r="C1004" s="227"/>
      <c r="D1004" s="227"/>
      <c r="E1004" s="227"/>
      <c r="F1004" s="227"/>
      <c r="G1004" s="227"/>
      <c r="H1004" s="227"/>
      <c r="I1004" s="227"/>
      <c r="J1004" s="227"/>
      <c r="K1004" s="227"/>
      <c r="L1004" s="228"/>
      <c r="M1004" s="227"/>
      <c r="N1004" s="227"/>
      <c r="O1004" s="227"/>
      <c r="P1004" s="227"/>
      <c r="Q1004" s="227"/>
      <c r="R1004" s="227"/>
      <c r="S1004" s="227"/>
      <c r="T1004" s="227"/>
      <c r="U1004" s="227"/>
      <c r="V1004" s="227"/>
      <c r="W1004" s="227"/>
      <c r="X1004" s="227"/>
      <c r="Y1004" s="227"/>
      <c r="Z1004" s="227"/>
      <c r="AA1004" s="227"/>
      <c r="AB1004" s="227"/>
      <c r="AC1004" s="227"/>
    </row>
    <row r="1005">
      <c r="A1005" s="227"/>
      <c r="B1005" s="227"/>
      <c r="C1005" s="227"/>
      <c r="D1005" s="227"/>
      <c r="E1005" s="227"/>
      <c r="F1005" s="227"/>
      <c r="G1005" s="227"/>
      <c r="H1005" s="227"/>
      <c r="I1005" s="227"/>
      <c r="J1005" s="227"/>
      <c r="K1005" s="227"/>
      <c r="L1005" s="228"/>
      <c r="M1005" s="227"/>
      <c r="N1005" s="227"/>
      <c r="O1005" s="227"/>
      <c r="P1005" s="227"/>
      <c r="Q1005" s="227"/>
      <c r="R1005" s="227"/>
      <c r="S1005" s="227"/>
      <c r="T1005" s="227"/>
      <c r="U1005" s="227"/>
      <c r="V1005" s="227"/>
      <c r="W1005" s="227"/>
      <c r="X1005" s="227"/>
      <c r="Y1005" s="227"/>
      <c r="Z1005" s="227"/>
      <c r="AA1005" s="227"/>
      <c r="AB1005" s="227"/>
      <c r="AC1005" s="227"/>
    </row>
    <row r="1006">
      <c r="A1006" s="227"/>
      <c r="B1006" s="227"/>
      <c r="C1006" s="227"/>
      <c r="D1006" s="227"/>
      <c r="E1006" s="227"/>
      <c r="F1006" s="227"/>
      <c r="G1006" s="227"/>
      <c r="H1006" s="227"/>
      <c r="I1006" s="227"/>
      <c r="J1006" s="227"/>
      <c r="K1006" s="227"/>
      <c r="L1006" s="228"/>
      <c r="M1006" s="227"/>
      <c r="N1006" s="227"/>
      <c r="O1006" s="227"/>
      <c r="P1006" s="227"/>
      <c r="Q1006" s="227"/>
      <c r="R1006" s="227"/>
      <c r="S1006" s="227"/>
      <c r="T1006" s="227"/>
      <c r="U1006" s="227"/>
      <c r="V1006" s="227"/>
      <c r="W1006" s="227"/>
      <c r="X1006" s="227"/>
      <c r="Y1006" s="227"/>
      <c r="Z1006" s="227"/>
      <c r="AA1006" s="227"/>
      <c r="AB1006" s="227"/>
      <c r="AC1006" s="227"/>
    </row>
    <row r="1007">
      <c r="A1007" s="227"/>
      <c r="B1007" s="227"/>
      <c r="C1007" s="227"/>
      <c r="D1007" s="227"/>
      <c r="E1007" s="227"/>
      <c r="F1007" s="227"/>
      <c r="G1007" s="227"/>
      <c r="H1007" s="227"/>
      <c r="I1007" s="227"/>
      <c r="J1007" s="227"/>
      <c r="K1007" s="227"/>
      <c r="L1007" s="228"/>
      <c r="M1007" s="227"/>
      <c r="N1007" s="227"/>
      <c r="O1007" s="227"/>
      <c r="P1007" s="227"/>
      <c r="Q1007" s="227"/>
      <c r="R1007" s="227"/>
      <c r="S1007" s="227"/>
      <c r="T1007" s="227"/>
      <c r="U1007" s="227"/>
      <c r="V1007" s="227"/>
      <c r="W1007" s="227"/>
      <c r="X1007" s="227"/>
      <c r="Y1007" s="227"/>
      <c r="Z1007" s="227"/>
      <c r="AA1007" s="227"/>
      <c r="AB1007" s="227"/>
      <c r="AC1007" s="227"/>
    </row>
    <row r="1008">
      <c r="A1008" s="227"/>
      <c r="B1008" s="227"/>
      <c r="C1008" s="227"/>
      <c r="D1008" s="227"/>
      <c r="E1008" s="227"/>
      <c r="F1008" s="227"/>
      <c r="G1008" s="227"/>
      <c r="H1008" s="227"/>
      <c r="I1008" s="227"/>
      <c r="J1008" s="227"/>
      <c r="K1008" s="227"/>
      <c r="L1008" s="228"/>
      <c r="M1008" s="227"/>
      <c r="N1008" s="227"/>
      <c r="O1008" s="227"/>
      <c r="P1008" s="227"/>
      <c r="Q1008" s="227"/>
      <c r="R1008" s="227"/>
      <c r="S1008" s="227"/>
      <c r="T1008" s="227"/>
      <c r="U1008" s="227"/>
      <c r="V1008" s="227"/>
      <c r="W1008" s="227"/>
      <c r="X1008" s="227"/>
      <c r="Y1008" s="227"/>
      <c r="Z1008" s="227"/>
      <c r="AA1008" s="227"/>
      <c r="AB1008" s="227"/>
      <c r="AC1008" s="227"/>
    </row>
    <row r="1009">
      <c r="A1009" s="227"/>
      <c r="B1009" s="227"/>
      <c r="C1009" s="227"/>
      <c r="D1009" s="227"/>
      <c r="E1009" s="227"/>
      <c r="F1009" s="227"/>
      <c r="G1009" s="227"/>
      <c r="H1009" s="227"/>
      <c r="I1009" s="227"/>
      <c r="J1009" s="227"/>
      <c r="K1009" s="227"/>
      <c r="L1009" s="228"/>
      <c r="M1009" s="227"/>
      <c r="N1009" s="227"/>
      <c r="O1009" s="227"/>
      <c r="P1009" s="227"/>
      <c r="Q1009" s="227"/>
      <c r="R1009" s="227"/>
      <c r="S1009" s="227"/>
      <c r="T1009" s="227"/>
      <c r="U1009" s="227"/>
      <c r="V1009" s="227"/>
      <c r="W1009" s="227"/>
      <c r="X1009" s="227"/>
      <c r="Y1009" s="227"/>
      <c r="Z1009" s="227"/>
      <c r="AA1009" s="227"/>
      <c r="AB1009" s="227"/>
      <c r="AC1009" s="227"/>
    </row>
    <row r="1010">
      <c r="A1010" s="227"/>
      <c r="B1010" s="227"/>
      <c r="C1010" s="227"/>
      <c r="D1010" s="227"/>
      <c r="E1010" s="227"/>
      <c r="F1010" s="227"/>
      <c r="G1010" s="227"/>
      <c r="H1010" s="227"/>
      <c r="I1010" s="227"/>
      <c r="J1010" s="227"/>
      <c r="K1010" s="227"/>
      <c r="L1010" s="228"/>
      <c r="M1010" s="227"/>
      <c r="N1010" s="227"/>
      <c r="O1010" s="227"/>
      <c r="P1010" s="227"/>
      <c r="Q1010" s="227"/>
      <c r="R1010" s="227"/>
      <c r="S1010" s="227"/>
      <c r="T1010" s="227"/>
      <c r="U1010" s="227"/>
      <c r="V1010" s="227"/>
      <c r="W1010" s="227"/>
      <c r="X1010" s="227"/>
      <c r="Y1010" s="227"/>
      <c r="Z1010" s="227"/>
      <c r="AA1010" s="227"/>
      <c r="AB1010" s="227"/>
      <c r="AC1010" s="227"/>
    </row>
    <row r="1011">
      <c r="A1011" s="227"/>
      <c r="B1011" s="227"/>
      <c r="C1011" s="227"/>
      <c r="D1011" s="227"/>
      <c r="E1011" s="227"/>
      <c r="F1011" s="227"/>
      <c r="G1011" s="227"/>
      <c r="H1011" s="227"/>
      <c r="I1011" s="227"/>
      <c r="J1011" s="227"/>
      <c r="K1011" s="227"/>
      <c r="L1011" s="228"/>
      <c r="M1011" s="227"/>
      <c r="N1011" s="227"/>
      <c r="O1011" s="227"/>
      <c r="P1011" s="227"/>
      <c r="Q1011" s="227"/>
      <c r="R1011" s="227"/>
      <c r="S1011" s="227"/>
      <c r="T1011" s="227"/>
      <c r="U1011" s="227"/>
      <c r="V1011" s="227"/>
      <c r="W1011" s="227"/>
      <c r="X1011" s="227"/>
      <c r="Y1011" s="227"/>
      <c r="Z1011" s="227"/>
      <c r="AA1011" s="227"/>
      <c r="AB1011" s="227"/>
      <c r="AC1011" s="227"/>
    </row>
    <row r="1012">
      <c r="A1012" s="227"/>
      <c r="B1012" s="227"/>
      <c r="C1012" s="227"/>
      <c r="D1012" s="227"/>
      <c r="E1012" s="227"/>
      <c r="F1012" s="227"/>
      <c r="G1012" s="227"/>
      <c r="H1012" s="227"/>
      <c r="I1012" s="227"/>
      <c r="J1012" s="227"/>
      <c r="K1012" s="227"/>
      <c r="L1012" s="228"/>
      <c r="M1012" s="227"/>
      <c r="N1012" s="227"/>
      <c r="O1012" s="227"/>
      <c r="P1012" s="227"/>
      <c r="Q1012" s="227"/>
      <c r="R1012" s="227"/>
      <c r="S1012" s="227"/>
      <c r="T1012" s="227"/>
      <c r="U1012" s="227"/>
      <c r="V1012" s="227"/>
      <c r="W1012" s="227"/>
      <c r="X1012" s="227"/>
      <c r="Y1012" s="227"/>
      <c r="Z1012" s="227"/>
      <c r="AA1012" s="227"/>
      <c r="AB1012" s="227"/>
      <c r="AC1012" s="227"/>
    </row>
    <row r="1013">
      <c r="A1013" s="227"/>
      <c r="B1013" s="227"/>
      <c r="C1013" s="227"/>
      <c r="D1013" s="227"/>
      <c r="E1013" s="227"/>
      <c r="F1013" s="227"/>
      <c r="G1013" s="227"/>
      <c r="H1013" s="227"/>
      <c r="I1013" s="227"/>
      <c r="J1013" s="227"/>
      <c r="K1013" s="227"/>
      <c r="L1013" s="228"/>
      <c r="M1013" s="227"/>
      <c r="N1013" s="227"/>
      <c r="O1013" s="227"/>
      <c r="P1013" s="227"/>
      <c r="Q1013" s="227"/>
      <c r="R1013" s="227"/>
      <c r="S1013" s="227"/>
      <c r="T1013" s="227"/>
      <c r="U1013" s="227"/>
      <c r="V1013" s="227"/>
      <c r="W1013" s="227"/>
      <c r="X1013" s="227"/>
      <c r="Y1013" s="227"/>
      <c r="Z1013" s="227"/>
      <c r="AA1013" s="227"/>
      <c r="AB1013" s="227"/>
      <c r="AC1013" s="227"/>
    </row>
    <row r="1014">
      <c r="A1014" s="227"/>
      <c r="B1014" s="227"/>
      <c r="C1014" s="227"/>
      <c r="D1014" s="227"/>
      <c r="E1014" s="227"/>
      <c r="F1014" s="227"/>
      <c r="G1014" s="227"/>
      <c r="H1014" s="227"/>
      <c r="I1014" s="227"/>
      <c r="J1014" s="227"/>
      <c r="K1014" s="227"/>
      <c r="L1014" s="228"/>
      <c r="M1014" s="227"/>
      <c r="N1014" s="227"/>
      <c r="O1014" s="227"/>
      <c r="P1014" s="227"/>
      <c r="Q1014" s="227"/>
      <c r="R1014" s="227"/>
      <c r="S1014" s="227"/>
      <c r="T1014" s="227"/>
      <c r="U1014" s="227"/>
      <c r="V1014" s="227"/>
      <c r="W1014" s="227"/>
      <c r="X1014" s="227"/>
      <c r="Y1014" s="227"/>
      <c r="Z1014" s="227"/>
      <c r="AA1014" s="227"/>
      <c r="AB1014" s="227"/>
      <c r="AC1014" s="227"/>
    </row>
    <row r="1015">
      <c r="A1015" s="227"/>
      <c r="B1015" s="227"/>
      <c r="C1015" s="227"/>
      <c r="D1015" s="227"/>
      <c r="E1015" s="227"/>
      <c r="F1015" s="227"/>
      <c r="G1015" s="227"/>
      <c r="H1015" s="227"/>
      <c r="I1015" s="227"/>
      <c r="J1015" s="227"/>
      <c r="K1015" s="227"/>
      <c r="L1015" s="228"/>
      <c r="M1015" s="227"/>
      <c r="N1015" s="227"/>
      <c r="O1015" s="227"/>
      <c r="P1015" s="227"/>
      <c r="Q1015" s="227"/>
      <c r="R1015" s="227"/>
      <c r="S1015" s="227"/>
      <c r="T1015" s="227"/>
      <c r="U1015" s="227"/>
      <c r="V1015" s="227"/>
      <c r="W1015" s="227"/>
      <c r="X1015" s="227"/>
      <c r="Y1015" s="227"/>
      <c r="Z1015" s="227"/>
      <c r="AA1015" s="227"/>
      <c r="AB1015" s="227"/>
      <c r="AC1015" s="227"/>
    </row>
    <row r="1016">
      <c r="A1016" s="227"/>
      <c r="B1016" s="227"/>
      <c r="C1016" s="227"/>
      <c r="D1016" s="227"/>
      <c r="E1016" s="227"/>
      <c r="F1016" s="227"/>
      <c r="G1016" s="227"/>
      <c r="H1016" s="227"/>
      <c r="I1016" s="227"/>
      <c r="J1016" s="227"/>
      <c r="K1016" s="227"/>
      <c r="L1016" s="228"/>
      <c r="M1016" s="227"/>
      <c r="N1016" s="227"/>
      <c r="O1016" s="227"/>
      <c r="P1016" s="227"/>
      <c r="Q1016" s="227"/>
      <c r="R1016" s="227"/>
      <c r="S1016" s="227"/>
      <c r="T1016" s="227"/>
      <c r="U1016" s="227"/>
      <c r="V1016" s="227"/>
      <c r="W1016" s="227"/>
      <c r="X1016" s="227"/>
      <c r="Y1016" s="227"/>
      <c r="Z1016" s="227"/>
      <c r="AA1016" s="227"/>
      <c r="AB1016" s="227"/>
      <c r="AC1016" s="227"/>
    </row>
    <row r="1017">
      <c r="A1017" s="227"/>
      <c r="B1017" s="227"/>
      <c r="C1017" s="227"/>
      <c r="D1017" s="227"/>
      <c r="E1017" s="227"/>
      <c r="F1017" s="227"/>
      <c r="G1017" s="227"/>
      <c r="H1017" s="227"/>
      <c r="I1017" s="227"/>
      <c r="J1017" s="227"/>
      <c r="K1017" s="227"/>
      <c r="L1017" s="228"/>
      <c r="M1017" s="227"/>
      <c r="N1017" s="227"/>
      <c r="O1017" s="227"/>
      <c r="P1017" s="227"/>
      <c r="Q1017" s="227"/>
      <c r="R1017" s="227"/>
      <c r="S1017" s="227"/>
      <c r="T1017" s="227"/>
      <c r="U1017" s="227"/>
      <c r="V1017" s="227"/>
      <c r="W1017" s="227"/>
      <c r="X1017" s="227"/>
      <c r="Y1017" s="227"/>
      <c r="Z1017" s="227"/>
      <c r="AA1017" s="227"/>
      <c r="AB1017" s="227"/>
      <c r="AC1017" s="227"/>
    </row>
    <row r="1018">
      <c r="A1018" s="227"/>
      <c r="B1018" s="227"/>
      <c r="C1018" s="227"/>
      <c r="D1018" s="227"/>
      <c r="E1018" s="227"/>
      <c r="F1018" s="227"/>
      <c r="G1018" s="227"/>
      <c r="H1018" s="227"/>
      <c r="I1018" s="227"/>
      <c r="J1018" s="227"/>
      <c r="K1018" s="227"/>
      <c r="L1018" s="228"/>
      <c r="M1018" s="227"/>
      <c r="N1018" s="227"/>
      <c r="O1018" s="227"/>
      <c r="P1018" s="227"/>
      <c r="Q1018" s="227"/>
      <c r="R1018" s="227"/>
      <c r="S1018" s="227"/>
      <c r="T1018" s="227"/>
      <c r="U1018" s="227"/>
      <c r="V1018" s="227"/>
      <c r="W1018" s="227"/>
      <c r="X1018" s="227"/>
      <c r="Y1018" s="227"/>
      <c r="Z1018" s="227"/>
      <c r="AA1018" s="227"/>
      <c r="AB1018" s="227"/>
      <c r="AC1018" s="227"/>
    </row>
    <row r="1019">
      <c r="A1019" s="227"/>
      <c r="B1019" s="227"/>
      <c r="C1019" s="227"/>
      <c r="D1019" s="227"/>
      <c r="E1019" s="227"/>
      <c r="F1019" s="227"/>
      <c r="G1019" s="227"/>
      <c r="H1019" s="227"/>
      <c r="I1019" s="227"/>
      <c r="J1019" s="227"/>
      <c r="K1019" s="227"/>
      <c r="L1019" s="228"/>
      <c r="M1019" s="227"/>
      <c r="N1019" s="227"/>
      <c r="O1019" s="227"/>
      <c r="P1019" s="227"/>
      <c r="Q1019" s="227"/>
      <c r="R1019" s="227"/>
      <c r="S1019" s="227"/>
      <c r="T1019" s="227"/>
      <c r="U1019" s="227"/>
      <c r="V1019" s="227"/>
      <c r="W1019" s="227"/>
      <c r="X1019" s="227"/>
      <c r="Y1019" s="227"/>
      <c r="Z1019" s="227"/>
      <c r="AA1019" s="227"/>
      <c r="AB1019" s="227"/>
      <c r="AC1019" s="227"/>
    </row>
    <row r="1020">
      <c r="A1020" s="227"/>
      <c r="B1020" s="227"/>
      <c r="C1020" s="227"/>
      <c r="D1020" s="227"/>
      <c r="E1020" s="227"/>
      <c r="F1020" s="227"/>
      <c r="G1020" s="227"/>
      <c r="H1020" s="227"/>
      <c r="I1020" s="227"/>
      <c r="J1020" s="227"/>
      <c r="L1020" s="228"/>
      <c r="M1020" s="227"/>
      <c r="N1020" s="227"/>
      <c r="O1020" s="227"/>
      <c r="P1020" s="227"/>
      <c r="Q1020" s="227"/>
      <c r="R1020" s="227"/>
      <c r="S1020" s="227"/>
      <c r="T1020" s="227"/>
      <c r="U1020" s="227"/>
      <c r="V1020" s="227"/>
      <c r="W1020" s="227"/>
      <c r="X1020" s="227"/>
      <c r="Y1020" s="227"/>
      <c r="Z1020" s="227"/>
      <c r="AA1020" s="227"/>
      <c r="AB1020" s="227"/>
      <c r="AC1020" s="227"/>
    </row>
    <row r="1021">
      <c r="A1021" s="227"/>
      <c r="B1021" s="227"/>
      <c r="C1021" s="227"/>
      <c r="D1021" s="227"/>
      <c r="E1021" s="227"/>
      <c r="F1021" s="227"/>
      <c r="G1021" s="227"/>
      <c r="H1021" s="227"/>
      <c r="I1021" s="227"/>
      <c r="J1021" s="227"/>
      <c r="L1021" s="228"/>
      <c r="M1021" s="227"/>
      <c r="N1021" s="227"/>
      <c r="O1021" s="227"/>
      <c r="P1021" s="227"/>
      <c r="Q1021" s="227"/>
      <c r="R1021" s="227"/>
      <c r="S1021" s="227"/>
      <c r="T1021" s="227"/>
      <c r="U1021" s="227"/>
      <c r="V1021" s="227"/>
      <c r="W1021" s="227"/>
      <c r="X1021" s="227"/>
      <c r="Y1021" s="227"/>
      <c r="Z1021" s="227"/>
      <c r="AA1021" s="227"/>
      <c r="AB1021" s="227"/>
      <c r="AC1021" s="227"/>
    </row>
    <row r="1022">
      <c r="A1022" s="227"/>
      <c r="B1022" s="227"/>
      <c r="C1022" s="227"/>
      <c r="D1022" s="227"/>
      <c r="E1022" s="227"/>
      <c r="F1022" s="227"/>
      <c r="G1022" s="227"/>
      <c r="H1022" s="227"/>
      <c r="I1022" s="227"/>
      <c r="J1022" s="227"/>
      <c r="L1022" s="228"/>
      <c r="M1022" s="227"/>
      <c r="N1022" s="227"/>
      <c r="O1022" s="227"/>
      <c r="P1022" s="227"/>
      <c r="Q1022" s="227"/>
      <c r="R1022" s="227"/>
      <c r="S1022" s="227"/>
      <c r="T1022" s="227"/>
      <c r="U1022" s="227"/>
      <c r="V1022" s="227"/>
      <c r="W1022" s="227"/>
      <c r="X1022" s="227"/>
      <c r="Y1022" s="227"/>
      <c r="Z1022" s="227"/>
      <c r="AA1022" s="227"/>
      <c r="AB1022" s="227"/>
      <c r="AC1022" s="227"/>
    </row>
    <row r="1023">
      <c r="A1023" s="227"/>
      <c r="B1023" s="227"/>
      <c r="C1023" s="227"/>
      <c r="D1023" s="227"/>
      <c r="E1023" s="227"/>
      <c r="F1023" s="227"/>
      <c r="G1023" s="227"/>
      <c r="H1023" s="227"/>
      <c r="I1023" s="227"/>
      <c r="J1023" s="227"/>
      <c r="L1023" s="228"/>
      <c r="M1023" s="227"/>
      <c r="N1023" s="227"/>
      <c r="O1023" s="227"/>
      <c r="P1023" s="227"/>
      <c r="Q1023" s="227"/>
      <c r="R1023" s="227"/>
      <c r="S1023" s="227"/>
      <c r="T1023" s="227"/>
      <c r="U1023" s="227"/>
      <c r="V1023" s="227"/>
      <c r="W1023" s="227"/>
      <c r="X1023" s="227"/>
      <c r="Y1023" s="227"/>
      <c r="Z1023" s="227"/>
      <c r="AA1023" s="227"/>
      <c r="AB1023" s="227"/>
      <c r="AC1023" s="2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63"/>
  </cols>
  <sheetData>
    <row r="1">
      <c r="A1" s="1" t="s">
        <v>0</v>
      </c>
      <c r="B1" s="3" t="s">
        <v>1</v>
      </c>
      <c r="C1" s="3" t="s">
        <v>7</v>
      </c>
    </row>
    <row r="2">
      <c r="A2" s="8">
        <v>45729.0</v>
      </c>
      <c r="B2" s="14" t="str">
        <f t="shared" ref="B2:B41" si="1">TEXT(A2,"dddd")</f>
        <v>jueves</v>
      </c>
      <c r="C2" s="16" t="s">
        <v>12</v>
      </c>
    </row>
    <row r="3">
      <c r="A3" s="8">
        <v>45733.0</v>
      </c>
      <c r="B3" s="14" t="str">
        <f t="shared" si="1"/>
        <v>lunes</v>
      </c>
      <c r="C3" s="16" t="s">
        <v>18</v>
      </c>
    </row>
    <row r="4">
      <c r="A4" s="23">
        <v>45734.0</v>
      </c>
      <c r="B4" s="26" t="str">
        <f t="shared" si="1"/>
        <v>martes</v>
      </c>
      <c r="C4" s="28" t="s">
        <v>22</v>
      </c>
    </row>
    <row r="5">
      <c r="A5" s="30">
        <v>45736.0</v>
      </c>
      <c r="B5" s="32" t="str">
        <f t="shared" si="1"/>
        <v>jueves</v>
      </c>
      <c r="C5" s="34" t="s">
        <v>24</v>
      </c>
    </row>
    <row r="6">
      <c r="A6" s="36">
        <v>45740.0</v>
      </c>
      <c r="B6" s="38" t="str">
        <f t="shared" si="1"/>
        <v>lunes</v>
      </c>
      <c r="C6" s="39" t="s">
        <v>28</v>
      </c>
    </row>
    <row r="7">
      <c r="A7" s="23">
        <v>45741.0</v>
      </c>
      <c r="B7" s="26" t="str">
        <f t="shared" si="1"/>
        <v>martes</v>
      </c>
      <c r="C7" s="28" t="s">
        <v>33</v>
      </c>
    </row>
    <row r="8">
      <c r="A8" s="30">
        <v>45743.0</v>
      </c>
      <c r="B8" s="32" t="str">
        <f t="shared" si="1"/>
        <v>jueves</v>
      </c>
      <c r="C8" s="34" t="s">
        <v>38</v>
      </c>
    </row>
    <row r="9">
      <c r="A9" s="23">
        <v>45747.0</v>
      </c>
      <c r="B9" s="26" t="str">
        <f t="shared" si="1"/>
        <v>lunes</v>
      </c>
      <c r="C9" s="28" t="s">
        <v>40</v>
      </c>
    </row>
    <row r="10">
      <c r="A10" s="53">
        <v>45748.0</v>
      </c>
      <c r="B10" s="26" t="str">
        <f t="shared" si="1"/>
        <v>martes</v>
      </c>
      <c r="C10" s="28" t="s">
        <v>46</v>
      </c>
    </row>
    <row r="11">
      <c r="A11" s="30">
        <v>45750.0</v>
      </c>
      <c r="B11" s="32" t="str">
        <f t="shared" si="1"/>
        <v>jueves</v>
      </c>
      <c r="C11" s="58" t="s">
        <v>47</v>
      </c>
      <c r="D11" s="60" t="s">
        <v>49</v>
      </c>
    </row>
    <row r="12">
      <c r="A12" s="23">
        <v>45754.0</v>
      </c>
      <c r="B12" s="26" t="str">
        <f t="shared" si="1"/>
        <v>lunes</v>
      </c>
      <c r="C12" s="28" t="s">
        <v>53</v>
      </c>
    </row>
    <row r="13">
      <c r="A13" s="23">
        <v>45755.0</v>
      </c>
      <c r="B13" s="26" t="str">
        <f t="shared" si="1"/>
        <v>martes</v>
      </c>
      <c r="C13" s="28" t="s">
        <v>54</v>
      </c>
    </row>
    <row r="14">
      <c r="A14" s="30">
        <v>45757.0</v>
      </c>
      <c r="B14" s="32" t="str">
        <f t="shared" si="1"/>
        <v>jueves</v>
      </c>
      <c r="C14" s="67" t="s">
        <v>55</v>
      </c>
    </row>
    <row r="15">
      <c r="A15" s="23">
        <v>45761.0</v>
      </c>
      <c r="B15" s="26" t="str">
        <f t="shared" si="1"/>
        <v>lunes</v>
      </c>
      <c r="C15" s="28" t="s">
        <v>58</v>
      </c>
    </row>
    <row r="16">
      <c r="A16" s="23">
        <v>45762.0</v>
      </c>
      <c r="B16" s="26" t="str">
        <f t="shared" si="1"/>
        <v>martes</v>
      </c>
      <c r="C16" s="28" t="s">
        <v>59</v>
      </c>
    </row>
    <row r="17">
      <c r="A17" s="30">
        <v>45764.0</v>
      </c>
      <c r="B17" s="32" t="str">
        <f t="shared" si="1"/>
        <v>jueves</v>
      </c>
      <c r="C17" s="34" t="s">
        <v>60</v>
      </c>
    </row>
    <row r="18">
      <c r="A18" s="78">
        <v>45768.0</v>
      </c>
      <c r="B18" s="80" t="str">
        <f t="shared" si="1"/>
        <v>lunes</v>
      </c>
      <c r="C18" s="82" t="s">
        <v>64</v>
      </c>
    </row>
    <row r="19">
      <c r="A19" s="23">
        <v>45769.0</v>
      </c>
      <c r="B19" s="26" t="str">
        <f t="shared" si="1"/>
        <v>martes</v>
      </c>
      <c r="C19" s="28" t="s">
        <v>65</v>
      </c>
    </row>
    <row r="20">
      <c r="A20" s="30">
        <v>45771.0</v>
      </c>
      <c r="B20" s="32" t="str">
        <f t="shared" si="1"/>
        <v>jueves</v>
      </c>
      <c r="C20" s="34" t="s">
        <v>66</v>
      </c>
    </row>
    <row r="21">
      <c r="A21" s="86">
        <v>45775.0</v>
      </c>
      <c r="B21" s="87" t="str">
        <f t="shared" si="1"/>
        <v>lunes</v>
      </c>
      <c r="C21" s="92" t="s">
        <v>70</v>
      </c>
    </row>
    <row r="22">
      <c r="A22" s="23">
        <v>45776.0</v>
      </c>
      <c r="B22" s="26" t="str">
        <f t="shared" si="1"/>
        <v>martes</v>
      </c>
      <c r="C22" s="28" t="s">
        <v>72</v>
      </c>
    </row>
    <row r="23">
      <c r="A23" s="36">
        <v>45778.0</v>
      </c>
      <c r="B23" s="38" t="str">
        <f t="shared" si="1"/>
        <v>jueves</v>
      </c>
      <c r="C23" s="39" t="s">
        <v>28</v>
      </c>
    </row>
    <row r="24">
      <c r="A24" s="23">
        <v>45782.0</v>
      </c>
      <c r="B24" s="26" t="str">
        <f t="shared" si="1"/>
        <v>lunes</v>
      </c>
      <c r="C24" s="28" t="s">
        <v>76</v>
      </c>
    </row>
    <row r="25">
      <c r="A25" s="23">
        <v>45783.0</v>
      </c>
      <c r="B25" s="26" t="str">
        <f t="shared" si="1"/>
        <v>martes</v>
      </c>
      <c r="C25" s="28" t="s">
        <v>78</v>
      </c>
    </row>
    <row r="26">
      <c r="A26" s="30">
        <v>45785.0</v>
      </c>
      <c r="B26" s="32" t="str">
        <f t="shared" si="1"/>
        <v>jueves</v>
      </c>
      <c r="C26" s="105" t="s">
        <v>79</v>
      </c>
    </row>
    <row r="27">
      <c r="A27" s="23">
        <v>45789.0</v>
      </c>
      <c r="B27" s="26" t="str">
        <f t="shared" si="1"/>
        <v>lunes</v>
      </c>
      <c r="C27" s="28" t="s">
        <v>84</v>
      </c>
    </row>
    <row r="28">
      <c r="A28" s="23">
        <v>45790.0</v>
      </c>
      <c r="B28" s="26" t="str">
        <f t="shared" si="1"/>
        <v>martes</v>
      </c>
      <c r="C28" s="28" t="s">
        <v>86</v>
      </c>
    </row>
    <row r="29">
      <c r="A29" s="30">
        <v>45792.0</v>
      </c>
      <c r="B29" s="32" t="str">
        <f t="shared" si="1"/>
        <v>jueves</v>
      </c>
      <c r="C29" s="34" t="s">
        <v>89</v>
      </c>
    </row>
    <row r="30">
      <c r="A30" s="44">
        <v>45796.0</v>
      </c>
      <c r="B30" s="26" t="str">
        <f t="shared" si="1"/>
        <v>lunes</v>
      </c>
      <c r="C30" s="28" t="s">
        <v>90</v>
      </c>
    </row>
    <row r="31">
      <c r="A31" s="44">
        <v>45797.0</v>
      </c>
      <c r="B31" s="26" t="str">
        <f t="shared" si="1"/>
        <v>martes</v>
      </c>
      <c r="C31" s="28" t="s">
        <v>92</v>
      </c>
    </row>
    <row r="32">
      <c r="A32" s="54">
        <v>45799.0</v>
      </c>
      <c r="B32" s="32" t="str">
        <f t="shared" si="1"/>
        <v>jueves</v>
      </c>
      <c r="C32" s="34" t="s">
        <v>94</v>
      </c>
    </row>
    <row r="33">
      <c r="A33" s="44">
        <v>45803.0</v>
      </c>
      <c r="B33" s="26" t="str">
        <f t="shared" si="1"/>
        <v>lunes</v>
      </c>
      <c r="C33" s="28" t="s">
        <v>95</v>
      </c>
    </row>
    <row r="34">
      <c r="A34" s="44">
        <v>45804.0</v>
      </c>
      <c r="B34" s="26" t="str">
        <f t="shared" si="1"/>
        <v>martes</v>
      </c>
      <c r="C34" s="28" t="s">
        <v>96</v>
      </c>
    </row>
    <row r="35">
      <c r="A35" s="54">
        <v>45806.0</v>
      </c>
      <c r="B35" s="32" t="str">
        <f t="shared" si="1"/>
        <v>jueves</v>
      </c>
      <c r="C35" s="34" t="s">
        <v>99</v>
      </c>
    </row>
    <row r="36">
      <c r="A36" s="117">
        <v>45810.0</v>
      </c>
      <c r="B36" s="87" t="str">
        <f t="shared" si="1"/>
        <v>lunes</v>
      </c>
      <c r="C36" s="118" t="s">
        <v>100</v>
      </c>
    </row>
    <row r="37">
      <c r="A37" s="44">
        <v>45811.0</v>
      </c>
      <c r="B37" s="26" t="str">
        <f t="shared" si="1"/>
        <v>martes</v>
      </c>
      <c r="C37" s="28" t="s">
        <v>103</v>
      </c>
    </row>
    <row r="38">
      <c r="A38" s="54">
        <v>45813.0</v>
      </c>
      <c r="B38" s="32" t="str">
        <f t="shared" si="1"/>
        <v>jueves</v>
      </c>
      <c r="C38" s="105" t="s">
        <v>106</v>
      </c>
    </row>
    <row r="39">
      <c r="A39" s="44">
        <v>45817.0</v>
      </c>
      <c r="B39" s="26" t="str">
        <f t="shared" si="1"/>
        <v>lunes</v>
      </c>
      <c r="C39" s="28" t="s">
        <v>107</v>
      </c>
    </row>
    <row r="40">
      <c r="A40" s="65">
        <v>45818.0</v>
      </c>
      <c r="B40" s="26" t="str">
        <f t="shared" si="1"/>
        <v>martes</v>
      </c>
      <c r="C40" s="28" t="s">
        <v>108</v>
      </c>
    </row>
    <row r="41">
      <c r="A41" s="117">
        <v>45821.0</v>
      </c>
      <c r="B41" s="87" t="str">
        <f t="shared" si="1"/>
        <v>viernes</v>
      </c>
      <c r="C41" s="131" t="s">
        <v>110</v>
      </c>
    </row>
    <row r="42">
      <c r="A42" s="132"/>
      <c r="B42" s="132"/>
      <c r="C42" s="134"/>
    </row>
    <row r="43">
      <c r="A43" s="136" t="s">
        <v>112</v>
      </c>
      <c r="B43" s="138"/>
      <c r="C43" s="28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227"/>
      <c r="B995" s="227"/>
      <c r="C995" s="10"/>
    </row>
    <row r="996">
      <c r="A996" s="227"/>
      <c r="B996" s="227"/>
      <c r="C996" s="10"/>
    </row>
    <row r="997">
      <c r="A997" s="227"/>
      <c r="B997" s="227"/>
      <c r="C997" s="10"/>
    </row>
    <row r="998">
      <c r="A998" s="227"/>
      <c r="B998" s="227"/>
      <c r="C998" s="10"/>
    </row>
    <row r="999">
      <c r="A999" s="227"/>
      <c r="B999" s="227"/>
      <c r="C999" s="227"/>
    </row>
    <row r="1000">
      <c r="A1000" s="227"/>
      <c r="B1000" s="227"/>
      <c r="C1000" s="227"/>
    </row>
    <row r="1001">
      <c r="A1001" s="227"/>
      <c r="B1001" s="227"/>
      <c r="C1001" s="227"/>
    </row>
    <row r="1002">
      <c r="A1002" s="227"/>
      <c r="B1002" s="227"/>
      <c r="C1002" s="227"/>
    </row>
    <row r="1003">
      <c r="A1003" s="227"/>
      <c r="B1003" s="227"/>
      <c r="C1003" s="227"/>
    </row>
    <row r="1004">
      <c r="A1004" s="227"/>
      <c r="B1004" s="227"/>
      <c r="C1004" s="227"/>
    </row>
    <row r="1005">
      <c r="A1005" s="227"/>
      <c r="B1005" s="227"/>
      <c r="C1005" s="227"/>
    </row>
    <row r="1006">
      <c r="A1006" s="227"/>
      <c r="B1006" s="227"/>
      <c r="C1006" s="227"/>
    </row>
    <row r="1007">
      <c r="A1007" s="227"/>
      <c r="B1007" s="227"/>
      <c r="C1007" s="227"/>
    </row>
    <row r="1008">
      <c r="A1008" s="227"/>
      <c r="B1008" s="227"/>
      <c r="C1008" s="227"/>
    </row>
    <row r="1009">
      <c r="A1009" s="227"/>
      <c r="B1009" s="227"/>
      <c r="C1009" s="227"/>
    </row>
    <row r="1010">
      <c r="A1010" s="227"/>
      <c r="B1010" s="227"/>
      <c r="C1010" s="227"/>
    </row>
    <row r="1011">
      <c r="A1011" s="227"/>
      <c r="B1011" s="227"/>
      <c r="C1011" s="227"/>
    </row>
    <row r="1012">
      <c r="A1012" s="227"/>
      <c r="B1012" s="227"/>
      <c r="C1012" s="227"/>
    </row>
    <row r="1013">
      <c r="A1013" s="227"/>
      <c r="B1013" s="227"/>
      <c r="C1013" s="227"/>
    </row>
    <row r="1014">
      <c r="A1014" s="227"/>
      <c r="B1014" s="227"/>
      <c r="C1014" s="227"/>
    </row>
    <row r="1015">
      <c r="A1015" s="227"/>
      <c r="B1015" s="227"/>
      <c r="C1015" s="227"/>
    </row>
    <row r="1016">
      <c r="A1016" s="227"/>
      <c r="B1016" s="227"/>
      <c r="C1016" s="227"/>
    </row>
    <row r="1017">
      <c r="A1017" s="227"/>
      <c r="B1017" s="227"/>
      <c r="C1017" s="227"/>
    </row>
    <row r="1018">
      <c r="A1018" s="227"/>
      <c r="B1018" s="227"/>
      <c r="C1018" s="227"/>
    </row>
    <row r="1019">
      <c r="A1019" s="227"/>
      <c r="B1019" s="227"/>
      <c r="C1019" s="227"/>
    </row>
    <row r="1020">
      <c r="A1020" s="227"/>
      <c r="B1020" s="227"/>
    </row>
    <row r="1021">
      <c r="A1021" s="227"/>
      <c r="B1021" s="227"/>
    </row>
    <row r="1022">
      <c r="A1022" s="227"/>
      <c r="B1022" s="227"/>
    </row>
    <row r="1023">
      <c r="A1023" s="227"/>
      <c r="B1023" s="2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75"/>
    <col customWidth="1" min="5" max="5" width="5.38"/>
    <col customWidth="1" min="6" max="6" width="13.25"/>
    <col customWidth="1" min="7" max="7" width="8.88"/>
    <col customWidth="1" min="9" max="9" width="10.88"/>
    <col customWidth="1" min="10" max="10" width="11.13"/>
    <col customWidth="1" min="11" max="11" width="53.6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7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15">
        <v>45365.0</v>
      </c>
      <c r="B2" s="14" t="str">
        <f t="shared" ref="B2:B41" si="1">TEXT(A2,"dddd")</f>
        <v>jueves</v>
      </c>
      <c r="C2" s="18" t="s">
        <v>13</v>
      </c>
      <c r="D2" s="14">
        <v>1.0</v>
      </c>
      <c r="E2" s="18" t="s">
        <v>20</v>
      </c>
      <c r="F2" s="18" t="s">
        <v>16</v>
      </c>
      <c r="G2" s="18" t="s">
        <v>19</v>
      </c>
      <c r="H2" s="22" t="s">
        <v>19</v>
      </c>
      <c r="I2" s="22" t="s">
        <v>19</v>
      </c>
      <c r="J2" s="24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15">
        <v>45369.0</v>
      </c>
      <c r="B3" s="14" t="str">
        <f t="shared" si="1"/>
        <v>lunes</v>
      </c>
      <c r="C3" s="18" t="s">
        <v>13</v>
      </c>
      <c r="D3" s="18">
        <v>2.0</v>
      </c>
      <c r="E3" s="18" t="s">
        <v>15</v>
      </c>
      <c r="F3" s="18" t="s">
        <v>27</v>
      </c>
      <c r="G3" s="18">
        <v>1.0</v>
      </c>
      <c r="H3" s="22">
        <v>2.0</v>
      </c>
      <c r="I3" s="22">
        <v>2.0</v>
      </c>
      <c r="J3" s="24">
        <v>2.0</v>
      </c>
      <c r="K3" s="16" t="s">
        <v>31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44">
        <v>45370.0</v>
      </c>
      <c r="B4" s="26" t="str">
        <f t="shared" si="1"/>
        <v>martes</v>
      </c>
      <c r="C4" s="42" t="s">
        <v>13</v>
      </c>
      <c r="D4" s="42">
        <v>2.0</v>
      </c>
      <c r="E4" s="42" t="s">
        <v>35</v>
      </c>
      <c r="F4" s="18" t="s">
        <v>27</v>
      </c>
      <c r="G4" s="42">
        <v>2.0</v>
      </c>
      <c r="H4" s="46">
        <v>2.0</v>
      </c>
      <c r="I4" s="46">
        <v>2.0</v>
      </c>
      <c r="J4" s="48"/>
      <c r="K4" s="28" t="s">
        <v>39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54">
        <v>45372.0</v>
      </c>
      <c r="B5" s="32" t="str">
        <f t="shared" si="1"/>
        <v>jueves</v>
      </c>
      <c r="C5" s="52" t="s">
        <v>13</v>
      </c>
      <c r="D5" s="52">
        <v>2.0</v>
      </c>
      <c r="E5" s="52" t="s">
        <v>20</v>
      </c>
      <c r="F5" s="52" t="s">
        <v>48</v>
      </c>
      <c r="G5" s="52">
        <v>3.0</v>
      </c>
      <c r="H5" s="55">
        <v>2.0</v>
      </c>
      <c r="I5" s="57"/>
      <c r="J5" s="55">
        <v>2.0</v>
      </c>
      <c r="K5" s="34" t="s">
        <v>51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65">
        <v>45376.0</v>
      </c>
      <c r="B6" s="26" t="str">
        <f t="shared" si="1"/>
        <v>lunes</v>
      </c>
      <c r="C6" s="42" t="s">
        <v>13</v>
      </c>
      <c r="D6" s="42">
        <v>3.0</v>
      </c>
      <c r="E6" s="18" t="s">
        <v>15</v>
      </c>
      <c r="F6" s="18" t="s">
        <v>27</v>
      </c>
      <c r="G6" s="42">
        <v>4.0</v>
      </c>
      <c r="H6" s="46">
        <v>2.0</v>
      </c>
      <c r="I6" s="46">
        <v>2.0</v>
      </c>
      <c r="J6" s="46"/>
      <c r="K6" s="28" t="s">
        <v>22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44">
        <v>45377.0</v>
      </c>
      <c r="B7" s="26" t="str">
        <f t="shared" si="1"/>
        <v>martes</v>
      </c>
      <c r="C7" s="42" t="s">
        <v>13</v>
      </c>
      <c r="D7" s="42">
        <v>3.0</v>
      </c>
      <c r="E7" s="42" t="s">
        <v>35</v>
      </c>
      <c r="F7" s="18" t="s">
        <v>27</v>
      </c>
      <c r="G7" s="42">
        <v>5.0</v>
      </c>
      <c r="H7" s="46">
        <v>2.0</v>
      </c>
      <c r="I7" s="46">
        <v>2.0</v>
      </c>
      <c r="J7" s="48"/>
      <c r="K7" s="28" t="s">
        <v>62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83">
        <v>45379.0</v>
      </c>
      <c r="B8" s="84" t="str">
        <f t="shared" si="1"/>
        <v>jueves</v>
      </c>
      <c r="C8" s="85" t="s">
        <v>13</v>
      </c>
      <c r="D8" s="85">
        <v>3.0</v>
      </c>
      <c r="E8" s="85" t="s">
        <v>20</v>
      </c>
      <c r="F8" s="85" t="s">
        <v>48</v>
      </c>
      <c r="G8" s="85" t="s">
        <v>19</v>
      </c>
      <c r="H8" s="88" t="s">
        <v>19</v>
      </c>
      <c r="I8" s="88"/>
      <c r="J8" s="88" t="s">
        <v>19</v>
      </c>
      <c r="K8" s="91" t="s">
        <v>28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96">
        <v>45383.0</v>
      </c>
      <c r="B9" s="98" t="str">
        <f t="shared" si="1"/>
        <v>lunes</v>
      </c>
      <c r="C9" s="99" t="s">
        <v>13</v>
      </c>
      <c r="D9" s="99">
        <v>4.0</v>
      </c>
      <c r="E9" s="100" t="s">
        <v>15</v>
      </c>
      <c r="F9" s="100" t="s">
        <v>27</v>
      </c>
      <c r="G9" s="99" t="s">
        <v>19</v>
      </c>
      <c r="H9" s="101" t="s">
        <v>19</v>
      </c>
      <c r="I9" s="101" t="s">
        <v>19</v>
      </c>
      <c r="J9" s="101"/>
      <c r="K9" s="102" t="s">
        <v>28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96">
        <v>45384.0</v>
      </c>
      <c r="B10" s="98" t="str">
        <f t="shared" si="1"/>
        <v>martes</v>
      </c>
      <c r="C10" s="99" t="s">
        <v>13</v>
      </c>
      <c r="D10" s="99">
        <v>4.0</v>
      </c>
      <c r="E10" s="99" t="s">
        <v>35</v>
      </c>
      <c r="F10" s="100" t="s">
        <v>27</v>
      </c>
      <c r="G10" s="99" t="s">
        <v>19</v>
      </c>
      <c r="H10" s="101" t="s">
        <v>19</v>
      </c>
      <c r="I10" s="101" t="s">
        <v>19</v>
      </c>
      <c r="J10" s="103"/>
      <c r="K10" s="102" t="s">
        <v>28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54">
        <v>45386.0</v>
      </c>
      <c r="B11" s="32" t="str">
        <f t="shared" si="1"/>
        <v>jueves</v>
      </c>
      <c r="C11" s="52" t="s">
        <v>13</v>
      </c>
      <c r="D11" s="52">
        <v>4.0</v>
      </c>
      <c r="E11" s="52" t="s">
        <v>20</v>
      </c>
      <c r="F11" s="52" t="s">
        <v>48</v>
      </c>
      <c r="G11" s="52">
        <v>6.0</v>
      </c>
      <c r="H11" s="55">
        <v>2.0</v>
      </c>
      <c r="I11" s="57"/>
      <c r="J11" s="55">
        <v>2.0</v>
      </c>
      <c r="K11" s="34" t="s">
        <v>85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44">
        <v>45390.0</v>
      </c>
      <c r="B12" s="26" t="str">
        <f t="shared" si="1"/>
        <v>lunes</v>
      </c>
      <c r="C12" s="42" t="s">
        <v>13</v>
      </c>
      <c r="D12" s="42">
        <v>5.0</v>
      </c>
      <c r="E12" s="18" t="s">
        <v>15</v>
      </c>
      <c r="F12" s="18" t="s">
        <v>27</v>
      </c>
      <c r="G12" s="42">
        <v>7.0</v>
      </c>
      <c r="H12" s="46">
        <v>2.0</v>
      </c>
      <c r="I12" s="46">
        <v>2.0</v>
      </c>
      <c r="J12" s="46"/>
      <c r="K12" s="28" t="s">
        <v>40</v>
      </c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</row>
    <row r="13">
      <c r="A13" s="44">
        <v>45391.0</v>
      </c>
      <c r="B13" s="26" t="str">
        <f t="shared" si="1"/>
        <v>martes</v>
      </c>
      <c r="C13" s="42" t="s">
        <v>13</v>
      </c>
      <c r="D13" s="42">
        <v>5.0</v>
      </c>
      <c r="E13" s="42" t="s">
        <v>35</v>
      </c>
      <c r="F13" s="18" t="s">
        <v>27</v>
      </c>
      <c r="G13" s="42">
        <v>8.0</v>
      </c>
      <c r="H13" s="46">
        <v>2.0</v>
      </c>
      <c r="I13" s="48">
        <v>2.0</v>
      </c>
      <c r="J13" s="48"/>
      <c r="K13" s="28" t="s">
        <v>46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54">
        <v>45393.0</v>
      </c>
      <c r="B14" s="32" t="str">
        <f t="shared" si="1"/>
        <v>jueves</v>
      </c>
      <c r="C14" s="52" t="s">
        <v>13</v>
      </c>
      <c r="D14" s="52">
        <v>5.0</v>
      </c>
      <c r="E14" s="52" t="s">
        <v>20</v>
      </c>
      <c r="F14" s="52" t="s">
        <v>48</v>
      </c>
      <c r="G14" s="52">
        <v>9.0</v>
      </c>
      <c r="H14" s="55">
        <v>2.0</v>
      </c>
      <c r="I14" s="57"/>
      <c r="J14" s="55">
        <v>2.0</v>
      </c>
      <c r="K14" s="34" t="s">
        <v>104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44">
        <v>45397.0</v>
      </c>
      <c r="B15" s="26" t="str">
        <f t="shared" si="1"/>
        <v>lunes</v>
      </c>
      <c r="C15" s="42" t="s">
        <v>13</v>
      </c>
      <c r="D15" s="42">
        <v>6.0</v>
      </c>
      <c r="E15" s="18" t="s">
        <v>15</v>
      </c>
      <c r="F15" s="18" t="s">
        <v>27</v>
      </c>
      <c r="G15" s="42">
        <v>10.0</v>
      </c>
      <c r="H15" s="46">
        <v>2.0</v>
      </c>
      <c r="I15" s="46">
        <v>2.0</v>
      </c>
      <c r="J15" s="48"/>
      <c r="K15" s="28" t="s">
        <v>111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44">
        <v>45398.0</v>
      </c>
      <c r="B16" s="26" t="str">
        <f t="shared" si="1"/>
        <v>martes</v>
      </c>
      <c r="C16" s="42" t="s">
        <v>13</v>
      </c>
      <c r="D16" s="42">
        <v>6.0</v>
      </c>
      <c r="E16" s="42" t="s">
        <v>35</v>
      </c>
      <c r="F16" s="18" t="s">
        <v>27</v>
      </c>
      <c r="G16" s="42">
        <v>11.0</v>
      </c>
      <c r="H16" s="46">
        <v>2.0</v>
      </c>
      <c r="I16" s="48">
        <v>2.0</v>
      </c>
      <c r="J16" s="48"/>
      <c r="K16" s="28" t="s">
        <v>114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54">
        <v>45400.0</v>
      </c>
      <c r="B17" s="32" t="str">
        <f t="shared" si="1"/>
        <v>jueves</v>
      </c>
      <c r="C17" s="52" t="s">
        <v>13</v>
      </c>
      <c r="D17" s="52">
        <v>6.0</v>
      </c>
      <c r="E17" s="52" t="s">
        <v>20</v>
      </c>
      <c r="F17" s="52" t="s">
        <v>48</v>
      </c>
      <c r="G17" s="52">
        <v>12.0</v>
      </c>
      <c r="H17" s="55">
        <v>2.0</v>
      </c>
      <c r="I17" s="57"/>
      <c r="J17" s="55">
        <v>2.0</v>
      </c>
      <c r="K17" s="34" t="s">
        <v>120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44">
        <v>45404.0</v>
      </c>
      <c r="B18" s="26" t="str">
        <f t="shared" si="1"/>
        <v>lunes</v>
      </c>
      <c r="C18" s="42" t="s">
        <v>13</v>
      </c>
      <c r="D18" s="42">
        <v>7.0</v>
      </c>
      <c r="E18" s="18" t="s">
        <v>15</v>
      </c>
      <c r="F18" s="18" t="s">
        <v>27</v>
      </c>
      <c r="G18" s="42">
        <v>13.0</v>
      </c>
      <c r="H18" s="46">
        <v>2.0</v>
      </c>
      <c r="I18" s="48">
        <v>2.0</v>
      </c>
      <c r="J18" s="48"/>
      <c r="K18" s="28" t="s">
        <v>54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44">
        <v>45405.0</v>
      </c>
      <c r="B19" s="26" t="str">
        <f t="shared" si="1"/>
        <v>martes</v>
      </c>
      <c r="C19" s="42" t="s">
        <v>13</v>
      </c>
      <c r="D19" s="42">
        <v>7.0</v>
      </c>
      <c r="E19" s="42" t="s">
        <v>35</v>
      </c>
      <c r="F19" s="42" t="s">
        <v>27</v>
      </c>
      <c r="G19" s="42">
        <v>14.0</v>
      </c>
      <c r="H19" s="46">
        <v>2.0</v>
      </c>
      <c r="I19" s="48">
        <v>2.0</v>
      </c>
      <c r="J19" s="48"/>
      <c r="K19" s="28" t="s">
        <v>128</v>
      </c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</row>
    <row r="20">
      <c r="A20" s="54">
        <v>45407.0</v>
      </c>
      <c r="B20" s="32" t="str">
        <f t="shared" si="1"/>
        <v>jueves</v>
      </c>
      <c r="C20" s="52" t="s">
        <v>13</v>
      </c>
      <c r="D20" s="52">
        <v>7.0</v>
      </c>
      <c r="E20" s="52" t="s">
        <v>20</v>
      </c>
      <c r="F20" s="52" t="s">
        <v>48</v>
      </c>
      <c r="G20" s="52">
        <v>15.0</v>
      </c>
      <c r="H20" s="55">
        <v>2.0</v>
      </c>
      <c r="I20" s="57"/>
      <c r="J20" s="57">
        <v>2.0</v>
      </c>
      <c r="K20" s="34" t="s">
        <v>133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117">
        <v>45411.0</v>
      </c>
      <c r="B21" s="87" t="str">
        <f t="shared" si="1"/>
        <v>lunes</v>
      </c>
      <c r="C21" s="147" t="s">
        <v>13</v>
      </c>
      <c r="D21" s="147">
        <v>8.0</v>
      </c>
      <c r="E21" s="147" t="s">
        <v>15</v>
      </c>
      <c r="F21" s="147" t="s">
        <v>27</v>
      </c>
      <c r="G21" s="147">
        <v>16.0</v>
      </c>
      <c r="H21" s="149">
        <v>2.0</v>
      </c>
      <c r="I21" s="150">
        <v>2.0</v>
      </c>
      <c r="J21" s="150">
        <v>2.0</v>
      </c>
      <c r="K21" s="118" t="s">
        <v>125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44">
        <v>45412.0</v>
      </c>
      <c r="B22" s="26" t="str">
        <f t="shared" si="1"/>
        <v>martes</v>
      </c>
      <c r="C22" s="42" t="s">
        <v>13</v>
      </c>
      <c r="D22" s="42">
        <v>8.0</v>
      </c>
      <c r="E22" s="42" t="s">
        <v>35</v>
      </c>
      <c r="F22" s="18" t="s">
        <v>27</v>
      </c>
      <c r="G22" s="42">
        <v>17.0</v>
      </c>
      <c r="H22" s="46">
        <v>2.0</v>
      </c>
      <c r="I22" s="48">
        <v>2.0</v>
      </c>
      <c r="J22" s="48"/>
      <c r="K22" s="28" t="s">
        <v>131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54">
        <v>45414.0</v>
      </c>
      <c r="B23" s="32" t="str">
        <f t="shared" si="1"/>
        <v>jueves</v>
      </c>
      <c r="C23" s="52" t="s">
        <v>13</v>
      </c>
      <c r="D23" s="52">
        <v>8.0</v>
      </c>
      <c r="E23" s="52" t="s">
        <v>20</v>
      </c>
      <c r="F23" s="52" t="s">
        <v>48</v>
      </c>
      <c r="G23" s="52">
        <v>18.0</v>
      </c>
      <c r="H23" s="55">
        <v>2.0</v>
      </c>
      <c r="I23" s="57"/>
      <c r="J23" s="57">
        <v>2.0</v>
      </c>
      <c r="K23" s="34" t="s">
        <v>141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44">
        <v>45418.0</v>
      </c>
      <c r="B24" s="26" t="str">
        <f t="shared" si="1"/>
        <v>lunes</v>
      </c>
      <c r="C24" s="42" t="s">
        <v>13</v>
      </c>
      <c r="D24" s="42">
        <v>9.0</v>
      </c>
      <c r="E24" s="18" t="s">
        <v>15</v>
      </c>
      <c r="F24" s="18" t="s">
        <v>27</v>
      </c>
      <c r="G24" s="42">
        <v>19.0</v>
      </c>
      <c r="H24" s="46">
        <v>2.0</v>
      </c>
      <c r="I24" s="48">
        <v>2.0</v>
      </c>
      <c r="J24" s="48"/>
      <c r="K24" s="28" t="s">
        <v>138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44">
        <v>45419.0</v>
      </c>
      <c r="B25" s="26" t="str">
        <f t="shared" si="1"/>
        <v>martes</v>
      </c>
      <c r="C25" s="42" t="s">
        <v>13</v>
      </c>
      <c r="D25" s="42">
        <v>9.0</v>
      </c>
      <c r="E25" s="42" t="s">
        <v>35</v>
      </c>
      <c r="F25" s="18" t="s">
        <v>27</v>
      </c>
      <c r="G25" s="42">
        <v>20.0</v>
      </c>
      <c r="H25" s="46">
        <v>2.0</v>
      </c>
      <c r="I25" s="48">
        <v>2.0</v>
      </c>
      <c r="J25" s="48"/>
      <c r="K25" s="28" t="s">
        <v>72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54">
        <v>45421.0</v>
      </c>
      <c r="B26" s="32" t="str">
        <f t="shared" si="1"/>
        <v>jueves</v>
      </c>
      <c r="C26" s="52" t="s">
        <v>13</v>
      </c>
      <c r="D26" s="52">
        <v>9.0</v>
      </c>
      <c r="E26" s="52" t="s">
        <v>20</v>
      </c>
      <c r="F26" s="52" t="s">
        <v>48</v>
      </c>
      <c r="G26" s="52">
        <v>21.0</v>
      </c>
      <c r="H26" s="55">
        <v>2.0</v>
      </c>
      <c r="I26" s="57"/>
      <c r="J26" s="57">
        <v>2.0</v>
      </c>
      <c r="K26" s="34" t="s">
        <v>79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44">
        <v>45425.0</v>
      </c>
      <c r="B27" s="26" t="str">
        <f t="shared" si="1"/>
        <v>lunes</v>
      </c>
      <c r="C27" s="42" t="s">
        <v>13</v>
      </c>
      <c r="D27" s="42">
        <v>10.0</v>
      </c>
      <c r="E27" s="42" t="s">
        <v>15</v>
      </c>
      <c r="F27" s="42" t="s">
        <v>27</v>
      </c>
      <c r="G27" s="42">
        <v>22.0</v>
      </c>
      <c r="H27" s="46">
        <v>2.0</v>
      </c>
      <c r="I27" s="48">
        <v>2.0</v>
      </c>
      <c r="J27" s="48"/>
      <c r="K27" s="28" t="s">
        <v>153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44">
        <v>45426.0</v>
      </c>
      <c r="B28" s="26" t="str">
        <f t="shared" si="1"/>
        <v>martes</v>
      </c>
      <c r="C28" s="42" t="s">
        <v>13</v>
      </c>
      <c r="D28" s="42">
        <v>10.0</v>
      </c>
      <c r="E28" s="42" t="s">
        <v>35</v>
      </c>
      <c r="F28" s="18" t="s">
        <v>27</v>
      </c>
      <c r="G28" s="42">
        <v>23.0</v>
      </c>
      <c r="H28" s="46">
        <v>2.0</v>
      </c>
      <c r="I28" s="48">
        <v>2.0</v>
      </c>
      <c r="J28" s="48"/>
      <c r="K28" s="28" t="s">
        <v>154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54">
        <v>45428.0</v>
      </c>
      <c r="B29" s="32" t="str">
        <f t="shared" si="1"/>
        <v>jueves</v>
      </c>
      <c r="C29" s="52" t="s">
        <v>13</v>
      </c>
      <c r="D29" s="52">
        <v>10.0</v>
      </c>
      <c r="E29" s="52" t="s">
        <v>20</v>
      </c>
      <c r="F29" s="52" t="s">
        <v>48</v>
      </c>
      <c r="G29" s="52">
        <v>24.0</v>
      </c>
      <c r="H29" s="55">
        <v>2.0</v>
      </c>
      <c r="I29" s="57"/>
      <c r="J29" s="57">
        <v>2.0</v>
      </c>
      <c r="K29" s="34" t="s">
        <v>156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44">
        <v>45432.0</v>
      </c>
      <c r="B30" s="26" t="str">
        <f t="shared" si="1"/>
        <v>lunes</v>
      </c>
      <c r="C30" s="42" t="s">
        <v>13</v>
      </c>
      <c r="D30" s="42">
        <v>11.0</v>
      </c>
      <c r="E30" s="42" t="s">
        <v>15</v>
      </c>
      <c r="F30" s="42" t="s">
        <v>158</v>
      </c>
      <c r="G30" s="42">
        <v>25.0</v>
      </c>
      <c r="H30" s="46">
        <v>2.0</v>
      </c>
      <c r="I30" s="48">
        <v>2.0</v>
      </c>
      <c r="J30" s="48">
        <v>2.0</v>
      </c>
      <c r="K30" s="28" t="s">
        <v>154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96">
        <v>45433.0</v>
      </c>
      <c r="B31" s="98" t="str">
        <f t="shared" si="1"/>
        <v>martes</v>
      </c>
      <c r="C31" s="99" t="s">
        <v>13</v>
      </c>
      <c r="D31" s="99">
        <v>11.0</v>
      </c>
      <c r="E31" s="99" t="s">
        <v>35</v>
      </c>
      <c r="F31" s="100" t="s">
        <v>160</v>
      </c>
      <c r="G31" s="99">
        <v>26.0</v>
      </c>
      <c r="H31" s="101">
        <v>2.0</v>
      </c>
      <c r="I31" s="103">
        <v>2.0</v>
      </c>
      <c r="J31" s="103"/>
      <c r="K31" s="102" t="s">
        <v>86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54">
        <v>45435.0</v>
      </c>
      <c r="B32" s="32" t="str">
        <f t="shared" si="1"/>
        <v>jueves</v>
      </c>
      <c r="C32" s="52" t="s">
        <v>13</v>
      </c>
      <c r="D32" s="52">
        <v>11.0</v>
      </c>
      <c r="E32" s="52" t="s">
        <v>20</v>
      </c>
      <c r="F32" s="52" t="s">
        <v>48</v>
      </c>
      <c r="G32" s="52">
        <v>27.0</v>
      </c>
      <c r="H32" s="55">
        <v>2.0</v>
      </c>
      <c r="I32" s="57"/>
      <c r="J32" s="57">
        <v>2.0</v>
      </c>
      <c r="K32" s="34" t="s">
        <v>161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44">
        <v>45439.0</v>
      </c>
      <c r="B33" s="26" t="str">
        <f t="shared" si="1"/>
        <v>lunes</v>
      </c>
      <c r="C33" s="42" t="s">
        <v>13</v>
      </c>
      <c r="D33" s="42">
        <v>12.0</v>
      </c>
      <c r="E33" s="18" t="s">
        <v>15</v>
      </c>
      <c r="F33" s="18" t="s">
        <v>27</v>
      </c>
      <c r="G33" s="42">
        <v>28.0</v>
      </c>
      <c r="H33" s="46">
        <v>2.0</v>
      </c>
      <c r="I33" s="48">
        <v>2.0</v>
      </c>
      <c r="J33" s="46"/>
      <c r="K33" s="28" t="s">
        <v>90</v>
      </c>
      <c r="L33" s="187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>
      <c r="A34" s="44">
        <v>45440.0</v>
      </c>
      <c r="B34" s="26" t="str">
        <f t="shared" si="1"/>
        <v>martes</v>
      </c>
      <c r="C34" s="42" t="s">
        <v>13</v>
      </c>
      <c r="D34" s="42">
        <v>12.0</v>
      </c>
      <c r="E34" s="42" t="s">
        <v>35</v>
      </c>
      <c r="F34" s="18" t="s">
        <v>27</v>
      </c>
      <c r="G34" s="42">
        <v>29.0</v>
      </c>
      <c r="H34" s="46">
        <v>2.0</v>
      </c>
      <c r="I34" s="48">
        <v>2.0</v>
      </c>
      <c r="J34" s="48"/>
      <c r="K34" s="28" t="s">
        <v>92</v>
      </c>
      <c r="L34" s="189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54">
        <v>45442.0</v>
      </c>
      <c r="B35" s="32" t="str">
        <f t="shared" si="1"/>
        <v>jueves</v>
      </c>
      <c r="C35" s="52" t="s">
        <v>13</v>
      </c>
      <c r="D35" s="52">
        <v>12.0</v>
      </c>
      <c r="E35" s="52" t="s">
        <v>20</v>
      </c>
      <c r="F35" s="52" t="s">
        <v>48</v>
      </c>
      <c r="G35" s="52">
        <v>30.0</v>
      </c>
      <c r="H35" s="55">
        <v>2.0</v>
      </c>
      <c r="I35" s="57"/>
      <c r="J35" s="57">
        <v>2.0</v>
      </c>
      <c r="K35" s="34" t="s">
        <v>164</v>
      </c>
      <c r="L35" s="189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117">
        <v>45446.0</v>
      </c>
      <c r="B36" s="87" t="str">
        <f t="shared" si="1"/>
        <v>lunes</v>
      </c>
      <c r="C36" s="147" t="s">
        <v>13</v>
      </c>
      <c r="D36" s="147">
        <v>13.0</v>
      </c>
      <c r="E36" s="147" t="s">
        <v>15</v>
      </c>
      <c r="F36" s="147" t="s">
        <v>27</v>
      </c>
      <c r="G36" s="147">
        <v>31.0</v>
      </c>
      <c r="H36" s="149">
        <v>2.0</v>
      </c>
      <c r="I36" s="150">
        <v>2.0</v>
      </c>
      <c r="J36" s="150">
        <v>2.0</v>
      </c>
      <c r="K36" s="118" t="s">
        <v>100</v>
      </c>
      <c r="L36" s="18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44">
        <v>45447.0</v>
      </c>
      <c r="B37" s="26" t="str">
        <f t="shared" si="1"/>
        <v>martes</v>
      </c>
      <c r="C37" s="42" t="s">
        <v>13</v>
      </c>
      <c r="D37" s="42">
        <v>13.0</v>
      </c>
      <c r="E37" s="42" t="s">
        <v>35</v>
      </c>
      <c r="F37" s="42" t="s">
        <v>27</v>
      </c>
      <c r="G37" s="42">
        <v>32.0</v>
      </c>
      <c r="H37" s="46">
        <v>2.0</v>
      </c>
      <c r="I37" s="48">
        <v>2.0</v>
      </c>
      <c r="J37" s="48"/>
      <c r="K37" s="28" t="s">
        <v>95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54">
        <v>45449.0</v>
      </c>
      <c r="B38" s="32" t="str">
        <f t="shared" si="1"/>
        <v>jueves</v>
      </c>
      <c r="C38" s="52" t="s">
        <v>13</v>
      </c>
      <c r="D38" s="52">
        <v>13.0</v>
      </c>
      <c r="E38" s="52" t="s">
        <v>20</v>
      </c>
      <c r="F38" s="52" t="s">
        <v>48</v>
      </c>
      <c r="G38" s="52">
        <v>33.0</v>
      </c>
      <c r="H38" s="55">
        <v>2.0</v>
      </c>
      <c r="I38" s="57"/>
      <c r="J38" s="57">
        <v>2.0</v>
      </c>
      <c r="K38" s="34" t="s">
        <v>168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44">
        <v>45453.0</v>
      </c>
      <c r="B39" s="26" t="str">
        <f t="shared" si="1"/>
        <v>lunes</v>
      </c>
      <c r="C39" s="42" t="s">
        <v>13</v>
      </c>
      <c r="D39" s="42">
        <v>14.0</v>
      </c>
      <c r="E39" s="42" t="s">
        <v>15</v>
      </c>
      <c r="F39" s="42" t="s">
        <v>27</v>
      </c>
      <c r="G39" s="42">
        <v>34.0</v>
      </c>
      <c r="H39" s="46">
        <v>2.0</v>
      </c>
      <c r="I39" s="48">
        <v>2.0</v>
      </c>
      <c r="J39" s="48"/>
      <c r="K39" s="28" t="s">
        <v>170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44">
        <v>45454.0</v>
      </c>
      <c r="B40" s="26" t="str">
        <f t="shared" si="1"/>
        <v>martes</v>
      </c>
      <c r="C40" s="42" t="s">
        <v>13</v>
      </c>
      <c r="D40" s="42">
        <v>14.0</v>
      </c>
      <c r="E40" s="42" t="s">
        <v>35</v>
      </c>
      <c r="F40" s="42" t="s">
        <v>27</v>
      </c>
      <c r="G40" s="42">
        <v>35.0</v>
      </c>
      <c r="H40" s="46">
        <v>2.0</v>
      </c>
      <c r="I40" s="48">
        <v>2.0</v>
      </c>
      <c r="J40" s="48"/>
      <c r="K40" s="28" t="s">
        <v>108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117">
        <v>45456.0</v>
      </c>
      <c r="B41" s="87" t="str">
        <f t="shared" si="1"/>
        <v>jueves</v>
      </c>
      <c r="C41" s="147" t="s">
        <v>13</v>
      </c>
      <c r="D41" s="147">
        <v>14.0</v>
      </c>
      <c r="E41" s="147" t="s">
        <v>20</v>
      </c>
      <c r="F41" s="147" t="s">
        <v>48</v>
      </c>
      <c r="G41" s="147">
        <v>36.0</v>
      </c>
      <c r="H41" s="149">
        <v>2.0</v>
      </c>
      <c r="I41" s="150"/>
      <c r="J41" s="150">
        <v>2.0</v>
      </c>
      <c r="K41" s="131" t="s">
        <v>110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4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136" t="s">
        <v>112</v>
      </c>
      <c r="B43" s="138"/>
      <c r="C43" s="138"/>
      <c r="D43" s="138"/>
      <c r="E43" s="138"/>
      <c r="F43" s="138"/>
      <c r="G43" s="138"/>
      <c r="H43" s="1">
        <f t="shared" ref="H43:J43" si="2">SUM(H2:H41)</f>
        <v>72</v>
      </c>
      <c r="I43" s="1">
        <f t="shared" si="2"/>
        <v>48</v>
      </c>
      <c r="J43" s="1">
        <f t="shared" si="2"/>
        <v>32</v>
      </c>
      <c r="K43" s="28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10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  <c r="AB995" s="227"/>
      <c r="AC995" s="227"/>
    </row>
    <row r="996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10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  <c r="AB996" s="227"/>
      <c r="AC996" s="227"/>
    </row>
    <row r="997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10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  <c r="AB997" s="227"/>
      <c r="AC997" s="227"/>
    </row>
    <row r="998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10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  <c r="AB998" s="227"/>
      <c r="AC998" s="227"/>
    </row>
    <row r="999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  <c r="AB999" s="227"/>
      <c r="AC999" s="227"/>
    </row>
    <row r="1000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  <c r="AB1000" s="227"/>
      <c r="AC1000" s="227"/>
    </row>
    <row r="1001">
      <c r="A1001" s="227"/>
      <c r="B1001" s="227"/>
      <c r="C1001" s="227"/>
      <c r="D1001" s="227"/>
      <c r="E1001" s="227"/>
      <c r="F1001" s="227"/>
      <c r="G1001" s="227"/>
      <c r="H1001" s="227"/>
      <c r="I1001" s="227"/>
      <c r="J1001" s="227"/>
      <c r="K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  <c r="U1001" s="227"/>
      <c r="V1001" s="227"/>
      <c r="W1001" s="227"/>
      <c r="X1001" s="227"/>
      <c r="Y1001" s="227"/>
      <c r="Z1001" s="227"/>
      <c r="AA1001" s="227"/>
      <c r="AB1001" s="227"/>
      <c r="AC1001" s="227"/>
    </row>
    <row r="1002">
      <c r="A1002" s="227"/>
      <c r="B1002" s="227"/>
      <c r="C1002" s="227"/>
      <c r="D1002" s="227"/>
      <c r="E1002" s="227"/>
      <c r="F1002" s="227"/>
      <c r="G1002" s="227"/>
      <c r="H1002" s="227"/>
      <c r="I1002" s="227"/>
      <c r="J1002" s="227"/>
      <c r="K1002" s="227"/>
      <c r="L1002" s="227"/>
      <c r="M1002" s="227"/>
      <c r="N1002" s="227"/>
      <c r="O1002" s="227"/>
      <c r="P1002" s="227"/>
      <c r="Q1002" s="227"/>
      <c r="R1002" s="227"/>
      <c r="S1002" s="227"/>
      <c r="T1002" s="227"/>
      <c r="U1002" s="227"/>
      <c r="V1002" s="227"/>
      <c r="W1002" s="227"/>
      <c r="X1002" s="227"/>
      <c r="Y1002" s="227"/>
      <c r="Z1002" s="227"/>
      <c r="AA1002" s="227"/>
      <c r="AB1002" s="227"/>
      <c r="AC1002" s="227"/>
    </row>
    <row r="1003">
      <c r="A1003" s="227"/>
      <c r="B1003" s="227"/>
      <c r="C1003" s="227"/>
      <c r="D1003" s="227"/>
      <c r="E1003" s="227"/>
      <c r="F1003" s="227"/>
      <c r="G1003" s="227"/>
      <c r="H1003" s="227"/>
      <c r="I1003" s="227"/>
      <c r="J1003" s="227"/>
      <c r="K1003" s="227"/>
      <c r="L1003" s="227"/>
      <c r="M1003" s="227"/>
      <c r="N1003" s="227"/>
      <c r="O1003" s="227"/>
      <c r="P1003" s="227"/>
      <c r="Q1003" s="227"/>
      <c r="R1003" s="227"/>
      <c r="S1003" s="227"/>
      <c r="T1003" s="227"/>
      <c r="U1003" s="227"/>
      <c r="V1003" s="227"/>
      <c r="W1003" s="227"/>
      <c r="X1003" s="227"/>
      <c r="Y1003" s="227"/>
      <c r="Z1003" s="227"/>
      <c r="AA1003" s="227"/>
      <c r="AB1003" s="227"/>
      <c r="AC1003" s="227"/>
    </row>
    <row r="1004">
      <c r="A1004" s="227"/>
      <c r="B1004" s="227"/>
      <c r="C1004" s="227"/>
      <c r="D1004" s="227"/>
      <c r="E1004" s="227"/>
      <c r="F1004" s="227"/>
      <c r="G1004" s="227"/>
      <c r="H1004" s="227"/>
      <c r="I1004" s="227"/>
      <c r="J1004" s="227"/>
      <c r="K1004" s="227"/>
      <c r="L1004" s="227"/>
      <c r="M1004" s="227"/>
      <c r="N1004" s="227"/>
      <c r="O1004" s="227"/>
      <c r="P1004" s="227"/>
      <c r="Q1004" s="227"/>
      <c r="R1004" s="227"/>
      <c r="S1004" s="227"/>
      <c r="T1004" s="227"/>
      <c r="U1004" s="227"/>
      <c r="V1004" s="227"/>
      <c r="W1004" s="227"/>
      <c r="X1004" s="227"/>
      <c r="Y1004" s="227"/>
      <c r="Z1004" s="227"/>
      <c r="AA1004" s="227"/>
      <c r="AB1004" s="227"/>
      <c r="AC1004" s="227"/>
    </row>
    <row r="1005">
      <c r="A1005" s="227"/>
      <c r="B1005" s="227"/>
      <c r="C1005" s="227"/>
      <c r="D1005" s="227"/>
      <c r="E1005" s="227"/>
      <c r="F1005" s="227"/>
      <c r="G1005" s="227"/>
      <c r="H1005" s="227"/>
      <c r="I1005" s="227"/>
      <c r="J1005" s="227"/>
      <c r="K1005" s="227"/>
      <c r="L1005" s="227"/>
      <c r="M1005" s="227"/>
      <c r="N1005" s="227"/>
      <c r="O1005" s="227"/>
      <c r="P1005" s="227"/>
      <c r="Q1005" s="227"/>
      <c r="R1005" s="227"/>
      <c r="S1005" s="227"/>
      <c r="T1005" s="227"/>
      <c r="U1005" s="227"/>
      <c r="V1005" s="227"/>
      <c r="W1005" s="227"/>
      <c r="X1005" s="227"/>
      <c r="Y1005" s="227"/>
      <c r="Z1005" s="227"/>
      <c r="AA1005" s="227"/>
      <c r="AB1005" s="227"/>
      <c r="AC1005" s="227"/>
    </row>
    <row r="1006">
      <c r="A1006" s="227"/>
      <c r="B1006" s="227"/>
      <c r="C1006" s="227"/>
      <c r="D1006" s="227"/>
      <c r="E1006" s="227"/>
      <c r="F1006" s="227"/>
      <c r="G1006" s="227"/>
      <c r="H1006" s="227"/>
      <c r="I1006" s="227"/>
      <c r="J1006" s="227"/>
      <c r="K1006" s="227"/>
      <c r="L1006" s="227"/>
      <c r="M1006" s="227"/>
      <c r="N1006" s="227"/>
      <c r="O1006" s="227"/>
      <c r="P1006" s="227"/>
      <c r="Q1006" s="227"/>
      <c r="R1006" s="227"/>
      <c r="S1006" s="227"/>
      <c r="T1006" s="227"/>
      <c r="U1006" s="227"/>
      <c r="V1006" s="227"/>
      <c r="W1006" s="227"/>
      <c r="X1006" s="227"/>
      <c r="Y1006" s="227"/>
      <c r="Z1006" s="227"/>
      <c r="AA1006" s="227"/>
      <c r="AB1006" s="227"/>
      <c r="AC1006" s="227"/>
    </row>
    <row r="1007">
      <c r="A1007" s="227"/>
      <c r="B1007" s="227"/>
      <c r="C1007" s="227"/>
      <c r="D1007" s="227"/>
      <c r="E1007" s="227"/>
      <c r="F1007" s="227"/>
      <c r="G1007" s="227"/>
      <c r="H1007" s="227"/>
      <c r="I1007" s="227"/>
      <c r="J1007" s="227"/>
      <c r="K1007" s="227"/>
      <c r="L1007" s="227"/>
      <c r="M1007" s="227"/>
      <c r="N1007" s="227"/>
      <c r="O1007" s="227"/>
      <c r="P1007" s="227"/>
      <c r="Q1007" s="227"/>
      <c r="R1007" s="227"/>
      <c r="S1007" s="227"/>
      <c r="T1007" s="227"/>
      <c r="U1007" s="227"/>
      <c r="V1007" s="227"/>
      <c r="W1007" s="227"/>
      <c r="X1007" s="227"/>
      <c r="Y1007" s="227"/>
      <c r="Z1007" s="227"/>
      <c r="AA1007" s="227"/>
      <c r="AB1007" s="227"/>
      <c r="AC1007" s="227"/>
    </row>
    <row r="1008">
      <c r="A1008" s="227"/>
      <c r="B1008" s="227"/>
      <c r="C1008" s="227"/>
      <c r="D1008" s="227"/>
      <c r="E1008" s="227"/>
      <c r="F1008" s="227"/>
      <c r="G1008" s="227"/>
      <c r="H1008" s="227"/>
      <c r="I1008" s="227"/>
      <c r="J1008" s="227"/>
      <c r="K1008" s="227"/>
      <c r="L1008" s="227"/>
      <c r="M1008" s="227"/>
      <c r="N1008" s="227"/>
      <c r="O1008" s="227"/>
      <c r="P1008" s="227"/>
      <c r="Q1008" s="227"/>
      <c r="R1008" s="227"/>
      <c r="S1008" s="227"/>
      <c r="T1008" s="227"/>
      <c r="U1008" s="227"/>
      <c r="V1008" s="227"/>
      <c r="W1008" s="227"/>
      <c r="X1008" s="227"/>
      <c r="Y1008" s="227"/>
      <c r="Z1008" s="227"/>
      <c r="AA1008" s="227"/>
      <c r="AB1008" s="227"/>
      <c r="AC1008" s="227"/>
    </row>
    <row r="1009">
      <c r="A1009" s="227"/>
      <c r="B1009" s="227"/>
      <c r="C1009" s="227"/>
      <c r="D1009" s="227"/>
      <c r="E1009" s="227"/>
      <c r="F1009" s="227"/>
      <c r="G1009" s="227"/>
      <c r="H1009" s="227"/>
      <c r="I1009" s="227"/>
      <c r="J1009" s="227"/>
      <c r="K1009" s="227"/>
      <c r="L1009" s="227"/>
      <c r="M1009" s="227"/>
      <c r="N1009" s="227"/>
      <c r="O1009" s="227"/>
      <c r="P1009" s="227"/>
      <c r="Q1009" s="227"/>
      <c r="R1009" s="227"/>
      <c r="S1009" s="227"/>
      <c r="T1009" s="227"/>
      <c r="U1009" s="227"/>
      <c r="V1009" s="227"/>
      <c r="W1009" s="227"/>
      <c r="X1009" s="227"/>
      <c r="Y1009" s="227"/>
      <c r="Z1009" s="227"/>
      <c r="AA1009" s="227"/>
      <c r="AB1009" s="227"/>
      <c r="AC1009" s="227"/>
    </row>
    <row r="1010">
      <c r="A1010" s="227"/>
      <c r="B1010" s="227"/>
      <c r="C1010" s="227"/>
      <c r="D1010" s="227"/>
      <c r="E1010" s="227"/>
      <c r="F1010" s="227"/>
      <c r="G1010" s="227"/>
      <c r="H1010" s="227"/>
      <c r="I1010" s="227"/>
      <c r="J1010" s="227"/>
      <c r="K1010" s="227"/>
      <c r="L1010" s="227"/>
      <c r="M1010" s="227"/>
      <c r="N1010" s="227"/>
      <c r="O1010" s="227"/>
      <c r="P1010" s="227"/>
      <c r="Q1010" s="227"/>
      <c r="R1010" s="227"/>
      <c r="S1010" s="227"/>
      <c r="T1010" s="227"/>
      <c r="U1010" s="227"/>
      <c r="V1010" s="227"/>
      <c r="W1010" s="227"/>
      <c r="X1010" s="227"/>
      <c r="Y1010" s="227"/>
      <c r="Z1010" s="227"/>
      <c r="AA1010" s="227"/>
      <c r="AB1010" s="227"/>
      <c r="AC1010" s="227"/>
    </row>
    <row r="1011">
      <c r="A1011" s="227"/>
      <c r="B1011" s="227"/>
      <c r="C1011" s="227"/>
      <c r="D1011" s="227"/>
      <c r="E1011" s="227"/>
      <c r="F1011" s="227"/>
      <c r="G1011" s="227"/>
      <c r="H1011" s="227"/>
      <c r="I1011" s="227"/>
      <c r="J1011" s="227"/>
      <c r="K1011" s="227"/>
      <c r="L1011" s="227"/>
      <c r="M1011" s="227"/>
      <c r="N1011" s="227"/>
      <c r="O1011" s="227"/>
      <c r="P1011" s="227"/>
      <c r="Q1011" s="227"/>
      <c r="R1011" s="227"/>
      <c r="S1011" s="227"/>
      <c r="T1011" s="227"/>
      <c r="U1011" s="227"/>
      <c r="V1011" s="227"/>
      <c r="W1011" s="227"/>
      <c r="X1011" s="227"/>
      <c r="Y1011" s="227"/>
      <c r="Z1011" s="227"/>
      <c r="AA1011" s="227"/>
      <c r="AB1011" s="227"/>
      <c r="AC1011" s="227"/>
    </row>
    <row r="1012">
      <c r="A1012" s="227"/>
      <c r="B1012" s="227"/>
      <c r="C1012" s="227"/>
      <c r="D1012" s="227"/>
      <c r="E1012" s="227"/>
      <c r="F1012" s="227"/>
      <c r="G1012" s="227"/>
      <c r="H1012" s="227"/>
      <c r="I1012" s="227"/>
      <c r="J1012" s="227"/>
      <c r="K1012" s="227"/>
      <c r="L1012" s="227"/>
      <c r="M1012" s="227"/>
      <c r="N1012" s="227"/>
      <c r="O1012" s="227"/>
      <c r="P1012" s="227"/>
      <c r="Q1012" s="227"/>
      <c r="R1012" s="227"/>
      <c r="S1012" s="227"/>
      <c r="T1012" s="227"/>
      <c r="U1012" s="227"/>
      <c r="V1012" s="227"/>
      <c r="W1012" s="227"/>
      <c r="X1012" s="227"/>
      <c r="Y1012" s="227"/>
      <c r="Z1012" s="227"/>
      <c r="AA1012" s="227"/>
      <c r="AB1012" s="227"/>
      <c r="AC1012" s="227"/>
    </row>
    <row r="1013">
      <c r="A1013" s="227"/>
      <c r="B1013" s="227"/>
      <c r="C1013" s="227"/>
      <c r="D1013" s="227"/>
      <c r="E1013" s="227"/>
      <c r="F1013" s="227"/>
      <c r="G1013" s="227"/>
      <c r="H1013" s="227"/>
      <c r="I1013" s="227"/>
      <c r="J1013" s="227"/>
      <c r="K1013" s="227"/>
      <c r="L1013" s="227"/>
      <c r="M1013" s="227"/>
      <c r="N1013" s="227"/>
      <c r="O1013" s="227"/>
      <c r="P1013" s="227"/>
      <c r="Q1013" s="227"/>
      <c r="R1013" s="227"/>
      <c r="S1013" s="227"/>
      <c r="T1013" s="227"/>
      <c r="U1013" s="227"/>
      <c r="V1013" s="227"/>
      <c r="W1013" s="227"/>
      <c r="X1013" s="227"/>
      <c r="Y1013" s="227"/>
      <c r="Z1013" s="227"/>
      <c r="AA1013" s="227"/>
      <c r="AB1013" s="227"/>
      <c r="AC1013" s="227"/>
    </row>
    <row r="1014">
      <c r="A1014" s="227"/>
      <c r="B1014" s="227"/>
      <c r="C1014" s="227"/>
      <c r="D1014" s="227"/>
      <c r="E1014" s="227"/>
      <c r="F1014" s="227"/>
      <c r="G1014" s="227"/>
      <c r="H1014" s="227"/>
      <c r="I1014" s="227"/>
      <c r="J1014" s="227"/>
      <c r="K1014" s="227"/>
      <c r="L1014" s="227"/>
      <c r="M1014" s="227"/>
      <c r="N1014" s="227"/>
      <c r="O1014" s="227"/>
      <c r="P1014" s="227"/>
      <c r="Q1014" s="227"/>
      <c r="R1014" s="227"/>
      <c r="S1014" s="227"/>
      <c r="T1014" s="227"/>
      <c r="U1014" s="227"/>
      <c r="V1014" s="227"/>
      <c r="W1014" s="227"/>
      <c r="X1014" s="227"/>
      <c r="Y1014" s="227"/>
      <c r="Z1014" s="227"/>
      <c r="AA1014" s="227"/>
      <c r="AB1014" s="227"/>
      <c r="AC1014" s="227"/>
    </row>
    <row r="1015">
      <c r="A1015" s="227"/>
      <c r="B1015" s="227"/>
      <c r="C1015" s="227"/>
      <c r="D1015" s="227"/>
      <c r="E1015" s="227"/>
      <c r="F1015" s="227"/>
      <c r="G1015" s="227"/>
      <c r="H1015" s="227"/>
      <c r="I1015" s="227"/>
      <c r="J1015" s="227"/>
      <c r="K1015" s="227"/>
      <c r="L1015" s="227"/>
      <c r="M1015" s="227"/>
      <c r="N1015" s="227"/>
      <c r="O1015" s="227"/>
      <c r="P1015" s="227"/>
      <c r="Q1015" s="227"/>
      <c r="R1015" s="227"/>
      <c r="S1015" s="227"/>
      <c r="T1015" s="227"/>
      <c r="U1015" s="227"/>
      <c r="V1015" s="227"/>
      <c r="W1015" s="227"/>
      <c r="X1015" s="227"/>
      <c r="Y1015" s="227"/>
      <c r="Z1015" s="227"/>
      <c r="AA1015" s="227"/>
      <c r="AB1015" s="227"/>
      <c r="AC1015" s="227"/>
    </row>
    <row r="1016">
      <c r="A1016" s="227"/>
      <c r="B1016" s="227"/>
      <c r="C1016" s="227"/>
      <c r="D1016" s="227"/>
      <c r="E1016" s="227"/>
      <c r="F1016" s="227"/>
      <c r="G1016" s="227"/>
      <c r="H1016" s="227"/>
      <c r="I1016" s="227"/>
      <c r="J1016" s="227"/>
      <c r="K1016" s="227"/>
      <c r="L1016" s="227"/>
      <c r="M1016" s="227"/>
      <c r="N1016" s="227"/>
      <c r="O1016" s="227"/>
      <c r="P1016" s="227"/>
      <c r="Q1016" s="227"/>
      <c r="R1016" s="227"/>
      <c r="S1016" s="227"/>
      <c r="T1016" s="227"/>
      <c r="U1016" s="227"/>
      <c r="V1016" s="227"/>
      <c r="W1016" s="227"/>
      <c r="X1016" s="227"/>
      <c r="Y1016" s="227"/>
      <c r="Z1016" s="227"/>
      <c r="AA1016" s="227"/>
      <c r="AB1016" s="227"/>
      <c r="AC1016" s="227"/>
    </row>
    <row r="1017">
      <c r="A1017" s="227"/>
      <c r="B1017" s="227"/>
      <c r="C1017" s="227"/>
      <c r="D1017" s="227"/>
      <c r="E1017" s="227"/>
      <c r="F1017" s="227"/>
      <c r="G1017" s="227"/>
      <c r="H1017" s="227"/>
      <c r="I1017" s="227"/>
      <c r="J1017" s="227"/>
      <c r="K1017" s="227"/>
      <c r="L1017" s="227"/>
      <c r="M1017" s="227"/>
      <c r="N1017" s="227"/>
      <c r="O1017" s="227"/>
      <c r="P1017" s="227"/>
      <c r="Q1017" s="227"/>
      <c r="R1017" s="227"/>
      <c r="S1017" s="227"/>
      <c r="T1017" s="227"/>
      <c r="U1017" s="227"/>
      <c r="V1017" s="227"/>
      <c r="W1017" s="227"/>
      <c r="X1017" s="227"/>
      <c r="Y1017" s="227"/>
      <c r="Z1017" s="227"/>
      <c r="AA1017" s="227"/>
      <c r="AB1017" s="227"/>
      <c r="AC1017" s="227"/>
    </row>
    <row r="1018">
      <c r="A1018" s="227"/>
      <c r="B1018" s="227"/>
      <c r="C1018" s="227"/>
      <c r="D1018" s="227"/>
      <c r="E1018" s="227"/>
      <c r="F1018" s="227"/>
      <c r="G1018" s="227"/>
      <c r="H1018" s="227"/>
      <c r="I1018" s="227"/>
      <c r="J1018" s="227"/>
      <c r="K1018" s="227"/>
      <c r="L1018" s="227"/>
      <c r="M1018" s="227"/>
      <c r="N1018" s="227"/>
      <c r="O1018" s="227"/>
      <c r="P1018" s="227"/>
      <c r="Q1018" s="227"/>
      <c r="R1018" s="227"/>
      <c r="S1018" s="227"/>
      <c r="T1018" s="227"/>
      <c r="U1018" s="227"/>
      <c r="V1018" s="227"/>
      <c r="W1018" s="227"/>
      <c r="X1018" s="227"/>
      <c r="Y1018" s="227"/>
      <c r="Z1018" s="227"/>
      <c r="AA1018" s="227"/>
      <c r="AB1018" s="227"/>
      <c r="AC1018" s="227"/>
    </row>
    <row r="1019">
      <c r="A1019" s="227"/>
      <c r="B1019" s="227"/>
      <c r="C1019" s="227"/>
      <c r="D1019" s="227"/>
      <c r="E1019" s="227"/>
      <c r="F1019" s="227"/>
      <c r="G1019" s="227"/>
      <c r="H1019" s="227"/>
      <c r="I1019" s="227"/>
      <c r="J1019" s="227"/>
      <c r="K1019" s="227"/>
      <c r="L1019" s="227"/>
      <c r="M1019" s="227"/>
      <c r="N1019" s="227"/>
      <c r="O1019" s="227"/>
      <c r="P1019" s="227"/>
      <c r="Q1019" s="227"/>
      <c r="R1019" s="227"/>
      <c r="S1019" s="227"/>
      <c r="T1019" s="227"/>
      <c r="U1019" s="227"/>
      <c r="V1019" s="227"/>
      <c r="W1019" s="227"/>
      <c r="X1019" s="227"/>
      <c r="Y1019" s="227"/>
      <c r="Z1019" s="227"/>
      <c r="AA1019" s="227"/>
      <c r="AB1019" s="227"/>
      <c r="AC1019" s="227"/>
    </row>
    <row r="1020">
      <c r="A1020" s="227"/>
      <c r="B1020" s="227"/>
      <c r="C1020" s="227"/>
      <c r="D1020" s="227"/>
      <c r="E1020" s="227"/>
      <c r="F1020" s="227"/>
      <c r="G1020" s="227"/>
      <c r="H1020" s="227"/>
      <c r="I1020" s="227"/>
      <c r="J1020" s="227"/>
      <c r="L1020" s="227"/>
      <c r="M1020" s="227"/>
      <c r="N1020" s="227"/>
      <c r="O1020" s="227"/>
      <c r="P1020" s="227"/>
      <c r="Q1020" s="227"/>
      <c r="R1020" s="227"/>
      <c r="S1020" s="227"/>
      <c r="T1020" s="227"/>
      <c r="U1020" s="227"/>
      <c r="V1020" s="227"/>
      <c r="W1020" s="227"/>
      <c r="X1020" s="227"/>
      <c r="Y1020" s="227"/>
      <c r="Z1020" s="227"/>
      <c r="AA1020" s="227"/>
      <c r="AB1020" s="227"/>
      <c r="AC1020" s="227"/>
    </row>
    <row r="1021">
      <c r="A1021" s="227"/>
      <c r="B1021" s="227"/>
      <c r="C1021" s="227"/>
      <c r="D1021" s="227"/>
      <c r="E1021" s="227"/>
      <c r="F1021" s="227"/>
      <c r="G1021" s="227"/>
      <c r="H1021" s="227"/>
      <c r="I1021" s="227"/>
      <c r="J1021" s="227"/>
      <c r="L1021" s="227"/>
      <c r="M1021" s="227"/>
      <c r="N1021" s="227"/>
      <c r="O1021" s="227"/>
      <c r="P1021" s="227"/>
      <c r="Q1021" s="227"/>
      <c r="R1021" s="227"/>
      <c r="S1021" s="227"/>
      <c r="T1021" s="227"/>
      <c r="U1021" s="227"/>
      <c r="V1021" s="227"/>
      <c r="W1021" s="227"/>
      <c r="X1021" s="227"/>
      <c r="Y1021" s="227"/>
      <c r="Z1021" s="227"/>
      <c r="AA1021" s="227"/>
      <c r="AB1021" s="227"/>
      <c r="AC1021" s="227"/>
    </row>
    <row r="1022">
      <c r="A1022" s="227"/>
      <c r="B1022" s="227"/>
      <c r="C1022" s="227"/>
      <c r="D1022" s="227"/>
      <c r="E1022" s="227"/>
      <c r="F1022" s="227"/>
      <c r="G1022" s="227"/>
      <c r="H1022" s="227"/>
      <c r="I1022" s="227"/>
      <c r="J1022" s="227"/>
      <c r="L1022" s="227"/>
      <c r="M1022" s="227"/>
      <c r="N1022" s="227"/>
      <c r="O1022" s="227"/>
      <c r="P1022" s="227"/>
      <c r="Q1022" s="227"/>
      <c r="R1022" s="227"/>
      <c r="S1022" s="227"/>
      <c r="T1022" s="227"/>
      <c r="U1022" s="227"/>
      <c r="V1022" s="227"/>
      <c r="W1022" s="227"/>
      <c r="X1022" s="227"/>
      <c r="Y1022" s="227"/>
      <c r="Z1022" s="227"/>
      <c r="AA1022" s="227"/>
      <c r="AB1022" s="227"/>
      <c r="AC1022" s="227"/>
    </row>
    <row r="1023">
      <c r="A1023" s="227"/>
      <c r="B1023" s="227"/>
      <c r="C1023" s="227"/>
      <c r="D1023" s="227"/>
      <c r="E1023" s="227"/>
      <c r="F1023" s="227"/>
      <c r="G1023" s="227"/>
      <c r="H1023" s="227"/>
      <c r="I1023" s="227"/>
      <c r="J1023" s="227"/>
      <c r="L1023" s="227"/>
      <c r="M1023" s="227"/>
      <c r="N1023" s="227"/>
      <c r="O1023" s="227"/>
      <c r="P1023" s="227"/>
      <c r="Q1023" s="227"/>
      <c r="R1023" s="227"/>
      <c r="S1023" s="227"/>
      <c r="T1023" s="227"/>
      <c r="U1023" s="227"/>
      <c r="V1023" s="227"/>
      <c r="W1023" s="227"/>
      <c r="X1023" s="227"/>
      <c r="Y1023" s="227"/>
      <c r="Z1023" s="227"/>
      <c r="AA1023" s="227"/>
      <c r="AB1023" s="227"/>
      <c r="AC1023" s="2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75"/>
    <col customWidth="1" min="5" max="5" width="5.38"/>
    <col customWidth="1" min="6" max="6" width="6.13"/>
    <col customWidth="1" min="7" max="7" width="8.88"/>
    <col customWidth="1" min="9" max="9" width="10.88"/>
    <col customWidth="1" min="10" max="10" width="11.13"/>
    <col customWidth="1" min="11" max="11" width="53.6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7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188">
        <v>45000.0</v>
      </c>
      <c r="B2" s="190" t="str">
        <f t="shared" ref="B2:B42" si="1">TEXT(A2,"dddd")</f>
        <v>miércoles</v>
      </c>
      <c r="C2" s="192" t="s">
        <v>163</v>
      </c>
      <c r="D2" s="190">
        <v>1.0</v>
      </c>
      <c r="E2" s="190"/>
      <c r="F2" s="190" t="s">
        <v>27</v>
      </c>
      <c r="G2" s="190">
        <v>1.0</v>
      </c>
      <c r="H2" s="193">
        <v>2.0</v>
      </c>
      <c r="I2" s="193">
        <v>2.0</v>
      </c>
      <c r="J2" s="194"/>
      <c r="K2" s="195" t="s">
        <v>31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188">
        <v>45001.0</v>
      </c>
      <c r="B3" s="190" t="str">
        <f t="shared" si="1"/>
        <v>jueves</v>
      </c>
      <c r="C3" s="192" t="s">
        <v>13</v>
      </c>
      <c r="D3" s="190">
        <v>1.0</v>
      </c>
      <c r="E3" s="190"/>
      <c r="F3" s="192" t="s">
        <v>166</v>
      </c>
      <c r="G3" s="190">
        <v>2.0</v>
      </c>
      <c r="H3" s="193">
        <v>2.0</v>
      </c>
      <c r="I3" s="194"/>
      <c r="J3" s="194">
        <v>2.0</v>
      </c>
      <c r="K3" s="196" t="s">
        <v>167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197">
        <v>45005.0</v>
      </c>
      <c r="B4" s="198" t="str">
        <f t="shared" si="1"/>
        <v>lunes</v>
      </c>
      <c r="C4" s="199" t="s">
        <v>13</v>
      </c>
      <c r="D4" s="199">
        <v>2.0</v>
      </c>
      <c r="E4" s="198"/>
      <c r="F4" s="198" t="s">
        <v>27</v>
      </c>
      <c r="G4" s="198">
        <v>3.0</v>
      </c>
      <c r="H4" s="200">
        <v>2.0</v>
      </c>
      <c r="I4" s="200">
        <v>2.0</v>
      </c>
      <c r="J4" s="201"/>
      <c r="K4" s="202" t="s">
        <v>39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203">
        <v>45007.0</v>
      </c>
      <c r="B5" s="204" t="str">
        <f t="shared" si="1"/>
        <v>miércoles</v>
      </c>
      <c r="C5" s="205" t="s">
        <v>163</v>
      </c>
      <c r="D5" s="205">
        <v>2.0</v>
      </c>
      <c r="E5" s="204"/>
      <c r="F5" s="205" t="s">
        <v>27</v>
      </c>
      <c r="G5" s="204">
        <v>4.0</v>
      </c>
      <c r="H5" s="206">
        <v>2.0</v>
      </c>
      <c r="I5" s="207">
        <v>2.0</v>
      </c>
      <c r="J5" s="207"/>
      <c r="K5" s="208" t="s">
        <v>22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203">
        <v>45008.0</v>
      </c>
      <c r="B6" s="204" t="str">
        <f t="shared" si="1"/>
        <v>jueves</v>
      </c>
      <c r="C6" s="205" t="s">
        <v>13</v>
      </c>
      <c r="D6" s="205">
        <v>2.0</v>
      </c>
      <c r="E6" s="204"/>
      <c r="F6" s="205" t="s">
        <v>166</v>
      </c>
      <c r="G6" s="204">
        <v>5.0</v>
      </c>
      <c r="H6" s="206">
        <v>2.0</v>
      </c>
      <c r="I6" s="207"/>
      <c r="J6" s="206">
        <v>2.0</v>
      </c>
      <c r="K6" s="208" t="s">
        <v>172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203">
        <v>45012.0</v>
      </c>
      <c r="B7" s="204" t="str">
        <f t="shared" si="1"/>
        <v>lunes</v>
      </c>
      <c r="C7" s="205" t="s">
        <v>13</v>
      </c>
      <c r="D7" s="205">
        <v>3.0</v>
      </c>
      <c r="E7" s="204"/>
      <c r="F7" s="205" t="s">
        <v>27</v>
      </c>
      <c r="G7" s="204">
        <v>6.0</v>
      </c>
      <c r="H7" s="206">
        <v>2.0</v>
      </c>
      <c r="I7" s="206">
        <v>2.0</v>
      </c>
      <c r="J7" s="207"/>
      <c r="K7" s="208" t="s">
        <v>40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03">
        <v>45014.0</v>
      </c>
      <c r="B8" s="204" t="str">
        <f t="shared" si="1"/>
        <v>miércoles</v>
      </c>
      <c r="C8" s="205" t="s">
        <v>163</v>
      </c>
      <c r="D8" s="205">
        <v>3.0</v>
      </c>
      <c r="E8" s="204"/>
      <c r="F8" s="205" t="s">
        <v>27</v>
      </c>
      <c r="G8" s="204">
        <v>7.0</v>
      </c>
      <c r="H8" s="206">
        <v>2.0</v>
      </c>
      <c r="I8" s="207">
        <v>2.0</v>
      </c>
      <c r="J8" s="207"/>
      <c r="K8" s="208" t="s">
        <v>46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44">
        <v>45015.0</v>
      </c>
      <c r="B9" s="26" t="str">
        <f t="shared" si="1"/>
        <v>jueves</v>
      </c>
      <c r="C9" s="42" t="s">
        <v>13</v>
      </c>
      <c r="D9" s="42">
        <v>3.0</v>
      </c>
      <c r="E9" s="26"/>
      <c r="F9" s="42" t="s">
        <v>166</v>
      </c>
      <c r="G9" s="26">
        <v>8.0</v>
      </c>
      <c r="H9" s="46">
        <v>2.0</v>
      </c>
      <c r="I9" s="48"/>
      <c r="J9" s="48">
        <v>2.0</v>
      </c>
      <c r="K9" s="209" t="s">
        <v>85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03">
        <v>45019.0</v>
      </c>
      <c r="B10" s="204" t="str">
        <f t="shared" si="1"/>
        <v>lunes</v>
      </c>
      <c r="C10" s="205" t="s">
        <v>13</v>
      </c>
      <c r="D10" s="205">
        <v>4.0</v>
      </c>
      <c r="E10" s="204"/>
      <c r="F10" s="205" t="s">
        <v>27</v>
      </c>
      <c r="G10" s="204">
        <v>9.0</v>
      </c>
      <c r="H10" s="206">
        <v>2.0</v>
      </c>
      <c r="I10" s="206">
        <v>2.0</v>
      </c>
      <c r="J10" s="207"/>
      <c r="K10" s="208" t="s">
        <v>111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03">
        <v>45021.0</v>
      </c>
      <c r="B11" s="204" t="str">
        <f t="shared" si="1"/>
        <v>miércoles</v>
      </c>
      <c r="C11" s="205" t="s">
        <v>163</v>
      </c>
      <c r="D11" s="205">
        <v>4.0</v>
      </c>
      <c r="E11" s="204"/>
      <c r="F11" s="205" t="s">
        <v>27</v>
      </c>
      <c r="G11" s="204">
        <v>10.0</v>
      </c>
      <c r="H11" s="206">
        <v>2.0</v>
      </c>
      <c r="I11" s="207">
        <v>2.0</v>
      </c>
      <c r="J11" s="207"/>
      <c r="K11" s="208" t="s">
        <v>114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96">
        <v>45022.0</v>
      </c>
      <c r="B12" s="98" t="str">
        <f t="shared" si="1"/>
        <v>jueves</v>
      </c>
      <c r="C12" s="99" t="s">
        <v>13</v>
      </c>
      <c r="D12" s="99">
        <v>4.0</v>
      </c>
      <c r="E12" s="98"/>
      <c r="F12" s="99" t="s">
        <v>166</v>
      </c>
      <c r="G12" s="98">
        <v>11.0</v>
      </c>
      <c r="H12" s="101" t="s">
        <v>19</v>
      </c>
      <c r="I12" s="101" t="s">
        <v>19</v>
      </c>
      <c r="J12" s="101" t="s">
        <v>19</v>
      </c>
      <c r="K12" s="102" t="s">
        <v>175</v>
      </c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</row>
    <row r="13">
      <c r="A13" s="203">
        <v>45026.0</v>
      </c>
      <c r="B13" s="204" t="str">
        <f t="shared" si="1"/>
        <v>lunes</v>
      </c>
      <c r="C13" s="205" t="s">
        <v>13</v>
      </c>
      <c r="D13" s="205">
        <v>5.0</v>
      </c>
      <c r="E13" s="204"/>
      <c r="F13" s="205" t="s">
        <v>27</v>
      </c>
      <c r="G13" s="204">
        <v>12.0</v>
      </c>
      <c r="H13" s="206">
        <v>2.0</v>
      </c>
      <c r="I13" s="207">
        <v>2.0</v>
      </c>
      <c r="J13" s="207"/>
      <c r="K13" s="208" t="s">
        <v>54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203">
        <v>45028.0</v>
      </c>
      <c r="B14" s="204" t="str">
        <f t="shared" si="1"/>
        <v>miércoles</v>
      </c>
      <c r="C14" s="205" t="s">
        <v>163</v>
      </c>
      <c r="D14" s="205">
        <v>5.0</v>
      </c>
      <c r="E14" s="204"/>
      <c r="F14" s="205" t="s">
        <v>27</v>
      </c>
      <c r="G14" s="204" t="s">
        <v>19</v>
      </c>
      <c r="H14" s="206">
        <v>2.0</v>
      </c>
      <c r="I14" s="207">
        <v>2.0</v>
      </c>
      <c r="J14" s="210"/>
      <c r="K14" s="208" t="s">
        <v>54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203">
        <v>45029.0</v>
      </c>
      <c r="B15" s="204" t="str">
        <f t="shared" si="1"/>
        <v>jueves</v>
      </c>
      <c r="C15" s="205" t="s">
        <v>13</v>
      </c>
      <c r="D15" s="205">
        <v>5.0</v>
      </c>
      <c r="E15" s="204"/>
      <c r="F15" s="205" t="s">
        <v>166</v>
      </c>
      <c r="G15" s="204" t="s">
        <v>19</v>
      </c>
      <c r="H15" s="206">
        <v>2.0</v>
      </c>
      <c r="I15" s="210"/>
      <c r="J15" s="207">
        <v>2.0</v>
      </c>
      <c r="K15" s="209" t="s">
        <v>176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203">
        <v>45033.0</v>
      </c>
      <c r="B16" s="204" t="str">
        <f t="shared" si="1"/>
        <v>lunes</v>
      </c>
      <c r="C16" s="205" t="s">
        <v>13</v>
      </c>
      <c r="D16" s="205">
        <v>6.0</v>
      </c>
      <c r="E16" s="204"/>
      <c r="F16" s="204" t="s">
        <v>27</v>
      </c>
      <c r="G16" s="204"/>
      <c r="H16" s="206">
        <v>2.0</v>
      </c>
      <c r="I16" s="207">
        <v>2.0</v>
      </c>
      <c r="J16" s="207"/>
      <c r="K16" s="208" t="s">
        <v>177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203">
        <v>45035.0</v>
      </c>
      <c r="B17" s="204" t="str">
        <f t="shared" si="1"/>
        <v>miércoles</v>
      </c>
      <c r="C17" s="205" t="s">
        <v>163</v>
      </c>
      <c r="D17" s="205">
        <v>6.0</v>
      </c>
      <c r="E17" s="204"/>
      <c r="F17" s="205" t="s">
        <v>27</v>
      </c>
      <c r="G17" s="204"/>
      <c r="H17" s="206">
        <v>2.0</v>
      </c>
      <c r="I17" s="207">
        <v>2.0</v>
      </c>
      <c r="J17" s="210"/>
      <c r="K17" s="208" t="s">
        <v>177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203">
        <v>45036.0</v>
      </c>
      <c r="B18" s="204" t="str">
        <f t="shared" si="1"/>
        <v>jueves</v>
      </c>
      <c r="C18" s="205" t="s">
        <v>13</v>
      </c>
      <c r="D18" s="205">
        <v>6.0</v>
      </c>
      <c r="E18" s="204"/>
      <c r="F18" s="205" t="s">
        <v>166</v>
      </c>
      <c r="G18" s="204"/>
      <c r="H18" s="206">
        <v>2.0</v>
      </c>
      <c r="I18" s="210"/>
      <c r="J18" s="207">
        <v>2.0</v>
      </c>
      <c r="K18" s="209" t="s">
        <v>178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117">
        <v>45040.0</v>
      </c>
      <c r="B19" s="87" t="str">
        <f t="shared" si="1"/>
        <v>lunes</v>
      </c>
      <c r="C19" s="147" t="s">
        <v>13</v>
      </c>
      <c r="D19" s="147">
        <v>7.0</v>
      </c>
      <c r="E19" s="87"/>
      <c r="F19" s="87" t="s">
        <v>27</v>
      </c>
      <c r="G19" s="87"/>
      <c r="H19" s="149">
        <v>2.0</v>
      </c>
      <c r="I19" s="150">
        <v>2.0</v>
      </c>
      <c r="J19" s="150"/>
      <c r="K19" s="118" t="s">
        <v>125</v>
      </c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</row>
    <row r="20">
      <c r="A20" s="203">
        <v>45042.0</v>
      </c>
      <c r="B20" s="204" t="str">
        <f t="shared" si="1"/>
        <v>miércoles</v>
      </c>
      <c r="C20" s="205" t="s">
        <v>163</v>
      </c>
      <c r="D20" s="205">
        <v>7.0</v>
      </c>
      <c r="E20" s="204"/>
      <c r="F20" s="205" t="s">
        <v>27</v>
      </c>
      <c r="G20" s="204"/>
      <c r="H20" s="206">
        <v>2.0</v>
      </c>
      <c r="I20" s="207">
        <v>2.0</v>
      </c>
      <c r="J20" s="210"/>
      <c r="K20" s="208" t="s">
        <v>179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211">
        <v>45043.0</v>
      </c>
      <c r="B21" s="204" t="str">
        <f t="shared" si="1"/>
        <v>jueves</v>
      </c>
      <c r="C21" s="205" t="s">
        <v>13</v>
      </c>
      <c r="D21" s="205">
        <v>7.0</v>
      </c>
      <c r="E21" s="204"/>
      <c r="F21" s="205" t="s">
        <v>166</v>
      </c>
      <c r="G21" s="204"/>
      <c r="H21" s="206">
        <v>2.0</v>
      </c>
      <c r="I21" s="210"/>
      <c r="J21" s="207">
        <v>2.0</v>
      </c>
      <c r="K21" s="209" t="s">
        <v>141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96">
        <v>45047.0</v>
      </c>
      <c r="B22" s="98" t="str">
        <f t="shared" si="1"/>
        <v>lunes</v>
      </c>
      <c r="C22" s="99" t="s">
        <v>13</v>
      </c>
      <c r="D22" s="99">
        <v>8.0</v>
      </c>
      <c r="E22" s="98"/>
      <c r="F22" s="98" t="s">
        <v>27</v>
      </c>
      <c r="G22" s="98"/>
      <c r="H22" s="101">
        <v>2.0</v>
      </c>
      <c r="I22" s="103">
        <v>2.0</v>
      </c>
      <c r="J22" s="103"/>
      <c r="K22" s="102" t="s">
        <v>180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44">
        <v>45049.0</v>
      </c>
      <c r="B23" s="26" t="str">
        <f t="shared" si="1"/>
        <v>miércoles</v>
      </c>
      <c r="C23" s="42" t="s">
        <v>163</v>
      </c>
      <c r="D23" s="42">
        <v>8.0</v>
      </c>
      <c r="E23" s="26"/>
      <c r="F23" s="42" t="s">
        <v>27</v>
      </c>
      <c r="G23" s="26"/>
      <c r="H23" s="46">
        <v>2.0</v>
      </c>
      <c r="I23" s="48">
        <v>2.0</v>
      </c>
      <c r="J23" s="212"/>
      <c r="K23" s="28" t="s">
        <v>131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44">
        <v>45050.0</v>
      </c>
      <c r="B24" s="26" t="str">
        <f t="shared" si="1"/>
        <v>jueves</v>
      </c>
      <c r="C24" s="42" t="s">
        <v>13</v>
      </c>
      <c r="D24" s="42">
        <v>8.0</v>
      </c>
      <c r="E24" s="26"/>
      <c r="F24" s="42" t="s">
        <v>27</v>
      </c>
      <c r="G24" s="26"/>
      <c r="H24" s="46">
        <v>2.0</v>
      </c>
      <c r="I24" s="212"/>
      <c r="J24" s="48">
        <v>2.0</v>
      </c>
      <c r="K24" s="28" t="s">
        <v>138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44">
        <v>45054.0</v>
      </c>
      <c r="B25" s="26" t="str">
        <f t="shared" si="1"/>
        <v>lunes</v>
      </c>
      <c r="C25" s="42" t="s">
        <v>13</v>
      </c>
      <c r="D25" s="42">
        <v>9.0</v>
      </c>
      <c r="E25" s="26"/>
      <c r="F25" s="26" t="s">
        <v>27</v>
      </c>
      <c r="G25" s="26"/>
      <c r="H25" s="46">
        <v>2.0</v>
      </c>
      <c r="I25" s="48">
        <v>2.0</v>
      </c>
      <c r="J25" s="48"/>
      <c r="K25" s="28" t="s">
        <v>72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44">
        <v>45056.0</v>
      </c>
      <c r="B26" s="26" t="str">
        <f t="shared" si="1"/>
        <v>miércoles</v>
      </c>
      <c r="C26" s="42" t="s">
        <v>163</v>
      </c>
      <c r="D26" s="42">
        <v>9.0</v>
      </c>
      <c r="E26" s="26"/>
      <c r="F26" s="42" t="s">
        <v>27</v>
      </c>
      <c r="G26" s="26"/>
      <c r="H26" s="46">
        <v>2.0</v>
      </c>
      <c r="I26" s="48">
        <v>2.0</v>
      </c>
      <c r="J26" s="212"/>
      <c r="K26" s="28" t="s">
        <v>153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13">
        <v>45057.0</v>
      </c>
      <c r="B27" s="80" t="str">
        <f t="shared" si="1"/>
        <v>jueves</v>
      </c>
      <c r="C27" s="214" t="s">
        <v>13</v>
      </c>
      <c r="D27" s="214">
        <v>9.0</v>
      </c>
      <c r="E27" s="80"/>
      <c r="F27" s="214" t="s">
        <v>166</v>
      </c>
      <c r="G27" s="80"/>
      <c r="H27" s="215">
        <v>2.0</v>
      </c>
      <c r="I27" s="216"/>
      <c r="J27" s="217">
        <v>2.0</v>
      </c>
      <c r="K27" s="218" t="s">
        <v>79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44">
        <v>45061.0</v>
      </c>
      <c r="B28" s="26" t="str">
        <f t="shared" si="1"/>
        <v>lunes</v>
      </c>
      <c r="C28" s="42" t="s">
        <v>13</v>
      </c>
      <c r="D28" s="42">
        <v>10.0</v>
      </c>
      <c r="E28" s="26"/>
      <c r="F28" s="26" t="s">
        <v>27</v>
      </c>
      <c r="G28" s="26"/>
      <c r="H28" s="46">
        <v>2.0</v>
      </c>
      <c r="I28" s="48">
        <v>2.0</v>
      </c>
      <c r="J28" s="48"/>
      <c r="K28" s="28" t="s">
        <v>154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44">
        <v>45063.0</v>
      </c>
      <c r="B29" s="26" t="str">
        <f t="shared" si="1"/>
        <v>miércoles</v>
      </c>
      <c r="C29" s="42" t="s">
        <v>13</v>
      </c>
      <c r="D29" s="42">
        <v>10.0</v>
      </c>
      <c r="E29" s="26"/>
      <c r="F29" s="42" t="s">
        <v>27</v>
      </c>
      <c r="G29" s="26"/>
      <c r="H29" s="46">
        <v>2.0</v>
      </c>
      <c r="I29" s="48">
        <v>2.0</v>
      </c>
      <c r="J29" s="212"/>
      <c r="K29" s="28" t="s">
        <v>154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13">
        <v>45064.0</v>
      </c>
      <c r="B30" s="80" t="str">
        <f t="shared" si="1"/>
        <v>jueves</v>
      </c>
      <c r="C30" s="214" t="s">
        <v>13</v>
      </c>
      <c r="D30" s="214">
        <v>10.0</v>
      </c>
      <c r="E30" s="80"/>
      <c r="F30" s="214" t="s">
        <v>166</v>
      </c>
      <c r="G30" s="80"/>
      <c r="H30" s="215">
        <v>2.0</v>
      </c>
      <c r="I30" s="216"/>
      <c r="J30" s="217">
        <v>2.0</v>
      </c>
      <c r="K30" s="218" t="s">
        <v>181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96">
        <v>45068.0</v>
      </c>
      <c r="B31" s="98" t="str">
        <f t="shared" si="1"/>
        <v>lunes</v>
      </c>
      <c r="C31" s="99" t="s">
        <v>13</v>
      </c>
      <c r="D31" s="99">
        <v>11.0</v>
      </c>
      <c r="E31" s="98"/>
      <c r="F31" s="98" t="s">
        <v>27</v>
      </c>
      <c r="G31" s="98"/>
      <c r="H31" s="101">
        <v>2.0</v>
      </c>
      <c r="I31" s="103">
        <v>2.0</v>
      </c>
      <c r="J31" s="103"/>
      <c r="K31" s="102" t="s">
        <v>182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96">
        <v>45070.0</v>
      </c>
      <c r="B32" s="98" t="str">
        <f t="shared" si="1"/>
        <v>miércoles</v>
      </c>
      <c r="C32" s="99" t="s">
        <v>13</v>
      </c>
      <c r="D32" s="99">
        <v>11.0</v>
      </c>
      <c r="E32" s="98"/>
      <c r="F32" s="99" t="s">
        <v>27</v>
      </c>
      <c r="G32" s="98"/>
      <c r="H32" s="101">
        <v>2.0</v>
      </c>
      <c r="I32" s="103">
        <v>2.0</v>
      </c>
      <c r="J32" s="219"/>
      <c r="K32" s="102" t="s">
        <v>182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96">
        <v>45071.0</v>
      </c>
      <c r="B33" s="98" t="str">
        <f t="shared" si="1"/>
        <v>jueves</v>
      </c>
      <c r="C33" s="99" t="s">
        <v>13</v>
      </c>
      <c r="D33" s="99">
        <v>11.0</v>
      </c>
      <c r="E33" s="98"/>
      <c r="F33" s="99" t="s">
        <v>166</v>
      </c>
      <c r="G33" s="98"/>
      <c r="H33" s="101" t="s">
        <v>19</v>
      </c>
      <c r="I33" s="220" t="s">
        <v>19</v>
      </c>
      <c r="J33" s="101" t="s">
        <v>19</v>
      </c>
      <c r="K33" s="102" t="s">
        <v>182</v>
      </c>
      <c r="L33" s="187" t="s">
        <v>183</v>
      </c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>
      <c r="A34" s="44">
        <v>45075.0</v>
      </c>
      <c r="B34" s="26" t="str">
        <f t="shared" si="1"/>
        <v>lunes</v>
      </c>
      <c r="C34" s="42" t="s">
        <v>13</v>
      </c>
      <c r="D34" s="42">
        <v>12.0</v>
      </c>
      <c r="E34" s="26"/>
      <c r="F34" s="26" t="s">
        <v>27</v>
      </c>
      <c r="G34" s="26"/>
      <c r="H34" s="46">
        <v>2.0</v>
      </c>
      <c r="I34" s="48">
        <v>2.0</v>
      </c>
      <c r="J34" s="48"/>
      <c r="K34" s="28" t="s">
        <v>86</v>
      </c>
      <c r="L34" s="189" t="s">
        <v>183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44">
        <v>45077.0</v>
      </c>
      <c r="B35" s="26" t="str">
        <f t="shared" si="1"/>
        <v>miércoles</v>
      </c>
      <c r="C35" s="42" t="s">
        <v>13</v>
      </c>
      <c r="D35" s="42">
        <v>12.0</v>
      </c>
      <c r="E35" s="26"/>
      <c r="F35" s="42" t="s">
        <v>27</v>
      </c>
      <c r="G35" s="26"/>
      <c r="H35" s="46">
        <v>2.0</v>
      </c>
      <c r="I35" s="48">
        <v>2.0</v>
      </c>
      <c r="J35" s="212"/>
      <c r="K35" s="28" t="s">
        <v>184</v>
      </c>
      <c r="L35" s="189" t="s">
        <v>183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213">
        <v>45078.0</v>
      </c>
      <c r="B36" s="80" t="str">
        <f t="shared" si="1"/>
        <v>jueves</v>
      </c>
      <c r="C36" s="214" t="s">
        <v>13</v>
      </c>
      <c r="D36" s="214">
        <v>12.0</v>
      </c>
      <c r="E36" s="80"/>
      <c r="F36" s="214" t="s">
        <v>166</v>
      </c>
      <c r="G36" s="80"/>
      <c r="H36" s="215">
        <v>2.0</v>
      </c>
      <c r="I36" s="216"/>
      <c r="J36" s="217">
        <v>2.0</v>
      </c>
      <c r="K36" s="218" t="s">
        <v>185</v>
      </c>
      <c r="L36" s="18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117">
        <v>45082.0</v>
      </c>
      <c r="B37" s="87" t="str">
        <f t="shared" si="1"/>
        <v>lunes</v>
      </c>
      <c r="C37" s="147" t="s">
        <v>13</v>
      </c>
      <c r="D37" s="147">
        <v>13.0</v>
      </c>
      <c r="E37" s="87"/>
      <c r="F37" s="87" t="s">
        <v>27</v>
      </c>
      <c r="G37" s="87"/>
      <c r="H37" s="149">
        <v>2.0</v>
      </c>
      <c r="I37" s="150">
        <v>2.0</v>
      </c>
      <c r="J37" s="150"/>
      <c r="K37" s="131" t="s">
        <v>100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44">
        <v>45084.0</v>
      </c>
      <c r="B38" s="26" t="str">
        <f t="shared" si="1"/>
        <v>miércoles</v>
      </c>
      <c r="C38" s="42" t="s">
        <v>13</v>
      </c>
      <c r="D38" s="42">
        <v>13.0</v>
      </c>
      <c r="E38" s="26"/>
      <c r="F38" s="42" t="s">
        <v>27</v>
      </c>
      <c r="G38" s="26"/>
      <c r="H38" s="46">
        <v>2.0</v>
      </c>
      <c r="I38" s="48">
        <v>2.0</v>
      </c>
      <c r="J38" s="212"/>
      <c r="K38" s="28" t="s">
        <v>186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213">
        <v>45085.0</v>
      </c>
      <c r="B39" s="80" t="str">
        <f t="shared" si="1"/>
        <v>jueves</v>
      </c>
      <c r="C39" s="214" t="s">
        <v>13</v>
      </c>
      <c r="D39" s="214">
        <v>13.0</v>
      </c>
      <c r="E39" s="80"/>
      <c r="F39" s="214" t="s">
        <v>166</v>
      </c>
      <c r="G39" s="87"/>
      <c r="H39" s="215">
        <v>2.0</v>
      </c>
      <c r="I39" s="216"/>
      <c r="J39" s="217">
        <v>2.0</v>
      </c>
      <c r="K39" s="218" t="s">
        <v>187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44">
        <v>45089.0</v>
      </c>
      <c r="B40" s="26" t="str">
        <f t="shared" si="1"/>
        <v>lunes</v>
      </c>
      <c r="C40" s="42" t="s">
        <v>13</v>
      </c>
      <c r="D40" s="42">
        <v>14.0</v>
      </c>
      <c r="E40" s="26"/>
      <c r="F40" s="26" t="s">
        <v>27</v>
      </c>
      <c r="G40" s="26"/>
      <c r="H40" s="46">
        <v>2.0</v>
      </c>
      <c r="I40" s="48">
        <v>2.0</v>
      </c>
      <c r="J40" s="48"/>
      <c r="K40" s="134" t="s">
        <v>188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44">
        <v>45091.0</v>
      </c>
      <c r="B41" s="26" t="str">
        <f t="shared" si="1"/>
        <v>miércoles</v>
      </c>
      <c r="C41" s="42" t="s">
        <v>13</v>
      </c>
      <c r="D41" s="42">
        <v>14.0</v>
      </c>
      <c r="E41" s="26"/>
      <c r="F41" s="42" t="s">
        <v>27</v>
      </c>
      <c r="G41" s="26"/>
      <c r="H41" s="46">
        <v>2.0</v>
      </c>
      <c r="I41" s="48">
        <v>2.0</v>
      </c>
      <c r="J41" s="212"/>
      <c r="K41" s="28" t="s">
        <v>189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17">
        <v>45092.0</v>
      </c>
      <c r="B42" s="87" t="str">
        <f t="shared" si="1"/>
        <v>jueves</v>
      </c>
      <c r="C42" s="147" t="s">
        <v>13</v>
      </c>
      <c r="D42" s="147">
        <v>14.0</v>
      </c>
      <c r="E42" s="87"/>
      <c r="F42" s="147" t="s">
        <v>166</v>
      </c>
      <c r="G42" s="87"/>
      <c r="H42" s="149">
        <v>2.0</v>
      </c>
      <c r="I42" s="221"/>
      <c r="J42" s="150">
        <v>2.0</v>
      </c>
      <c r="K42" s="118" t="s">
        <v>190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22"/>
      <c r="B43" s="26"/>
      <c r="C43" s="26"/>
      <c r="D43" s="26"/>
      <c r="E43" s="26"/>
      <c r="F43" s="26"/>
      <c r="G43" s="26"/>
      <c r="H43" s="48"/>
      <c r="I43" s="48"/>
      <c r="J43" s="48"/>
      <c r="K43" s="223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224"/>
      <c r="B44" s="26"/>
      <c r="C44" s="1"/>
      <c r="D44" s="1"/>
      <c r="E44" s="1"/>
      <c r="F44" s="1"/>
      <c r="G44" s="1"/>
      <c r="H44" s="225"/>
      <c r="I44" s="225"/>
      <c r="J44" s="225"/>
      <c r="K44" s="226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136" t="s">
        <v>112</v>
      </c>
      <c r="B46" s="138"/>
      <c r="C46" s="138"/>
      <c r="D46" s="138"/>
      <c r="E46" s="138"/>
      <c r="F46" s="138"/>
      <c r="G46" s="138"/>
      <c r="H46" s="1">
        <f t="shared" ref="H46:J46" si="2">SUM(H2:H44)</f>
        <v>78</v>
      </c>
      <c r="I46" s="1">
        <f t="shared" si="2"/>
        <v>54</v>
      </c>
      <c r="J46" s="1">
        <f t="shared" si="2"/>
        <v>24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  <c r="AB1000" s="227"/>
      <c r="AC1000" s="227"/>
    </row>
    <row r="1001">
      <c r="A1001" s="227"/>
      <c r="B1001" s="227"/>
      <c r="C1001" s="227"/>
      <c r="D1001" s="227"/>
      <c r="E1001" s="227"/>
      <c r="F1001" s="227"/>
      <c r="G1001" s="227"/>
      <c r="H1001" s="227"/>
      <c r="I1001" s="227"/>
      <c r="J1001" s="227"/>
      <c r="K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  <c r="U1001" s="227"/>
      <c r="V1001" s="227"/>
      <c r="W1001" s="227"/>
      <c r="X1001" s="227"/>
      <c r="Y1001" s="227"/>
      <c r="Z1001" s="227"/>
      <c r="AA1001" s="227"/>
      <c r="AB1001" s="227"/>
      <c r="AC1001" s="227"/>
    </row>
    <row r="1002">
      <c r="A1002" s="227"/>
      <c r="B1002" s="227"/>
      <c r="C1002" s="227"/>
      <c r="D1002" s="227"/>
      <c r="E1002" s="227"/>
      <c r="F1002" s="227"/>
      <c r="G1002" s="227"/>
      <c r="H1002" s="227"/>
      <c r="I1002" s="227"/>
      <c r="J1002" s="227"/>
      <c r="K1002" s="227"/>
      <c r="L1002" s="227"/>
      <c r="M1002" s="227"/>
      <c r="N1002" s="227"/>
      <c r="O1002" s="227"/>
      <c r="P1002" s="227"/>
      <c r="Q1002" s="227"/>
      <c r="R1002" s="227"/>
      <c r="S1002" s="227"/>
      <c r="T1002" s="227"/>
      <c r="U1002" s="227"/>
      <c r="V1002" s="227"/>
      <c r="W1002" s="227"/>
      <c r="X1002" s="227"/>
      <c r="Y1002" s="227"/>
      <c r="Z1002" s="227"/>
      <c r="AA1002" s="227"/>
      <c r="AB1002" s="227"/>
      <c r="AC1002" s="227"/>
    </row>
    <row r="1003">
      <c r="A1003" s="227"/>
      <c r="B1003" s="227"/>
      <c r="C1003" s="227"/>
      <c r="D1003" s="227"/>
      <c r="E1003" s="227"/>
      <c r="F1003" s="227"/>
      <c r="G1003" s="227"/>
      <c r="H1003" s="227"/>
      <c r="I1003" s="227"/>
      <c r="J1003" s="227"/>
      <c r="K1003" s="227"/>
      <c r="L1003" s="227"/>
      <c r="M1003" s="227"/>
      <c r="N1003" s="227"/>
      <c r="O1003" s="227"/>
      <c r="P1003" s="227"/>
      <c r="Q1003" s="227"/>
      <c r="R1003" s="227"/>
      <c r="S1003" s="227"/>
      <c r="T1003" s="227"/>
      <c r="U1003" s="227"/>
      <c r="V1003" s="227"/>
      <c r="W1003" s="227"/>
      <c r="X1003" s="227"/>
      <c r="Y1003" s="227"/>
      <c r="Z1003" s="227"/>
      <c r="AA1003" s="227"/>
      <c r="AB1003" s="227"/>
      <c r="AC1003" s="227"/>
    </row>
    <row r="1004">
      <c r="A1004" s="227"/>
      <c r="B1004" s="227"/>
      <c r="C1004" s="227"/>
      <c r="D1004" s="227"/>
      <c r="E1004" s="227"/>
      <c r="F1004" s="227"/>
      <c r="G1004" s="227"/>
      <c r="H1004" s="227"/>
      <c r="I1004" s="227"/>
      <c r="J1004" s="227"/>
      <c r="K1004" s="227"/>
      <c r="L1004" s="227"/>
      <c r="M1004" s="227"/>
      <c r="N1004" s="227"/>
      <c r="O1004" s="227"/>
      <c r="P1004" s="227"/>
      <c r="Q1004" s="227"/>
      <c r="R1004" s="227"/>
      <c r="S1004" s="227"/>
      <c r="T1004" s="227"/>
      <c r="U1004" s="227"/>
      <c r="V1004" s="227"/>
      <c r="W1004" s="227"/>
      <c r="X1004" s="227"/>
      <c r="Y1004" s="227"/>
      <c r="Z1004" s="227"/>
      <c r="AA1004" s="227"/>
      <c r="AB1004" s="227"/>
      <c r="AC1004" s="227"/>
    </row>
    <row r="1005">
      <c r="A1005" s="227"/>
      <c r="B1005" s="227"/>
      <c r="C1005" s="227"/>
      <c r="D1005" s="227"/>
      <c r="E1005" s="227"/>
      <c r="F1005" s="227"/>
      <c r="G1005" s="227"/>
      <c r="H1005" s="227"/>
      <c r="I1005" s="227"/>
      <c r="J1005" s="227"/>
      <c r="K1005" s="227"/>
      <c r="L1005" s="227"/>
      <c r="M1005" s="227"/>
      <c r="N1005" s="227"/>
      <c r="O1005" s="227"/>
      <c r="P1005" s="227"/>
      <c r="Q1005" s="227"/>
      <c r="R1005" s="227"/>
      <c r="S1005" s="227"/>
      <c r="T1005" s="227"/>
      <c r="U1005" s="227"/>
      <c r="V1005" s="227"/>
      <c r="W1005" s="227"/>
      <c r="X1005" s="227"/>
      <c r="Y1005" s="227"/>
      <c r="Z1005" s="227"/>
      <c r="AA1005" s="227"/>
      <c r="AB1005" s="227"/>
      <c r="AC1005" s="227"/>
    </row>
    <row r="1006">
      <c r="A1006" s="227"/>
      <c r="B1006" s="227"/>
      <c r="C1006" s="227"/>
      <c r="D1006" s="227"/>
      <c r="E1006" s="227"/>
      <c r="F1006" s="227"/>
      <c r="G1006" s="227"/>
      <c r="H1006" s="227"/>
      <c r="I1006" s="227"/>
      <c r="J1006" s="227"/>
      <c r="K1006" s="227"/>
      <c r="L1006" s="227"/>
      <c r="M1006" s="227"/>
      <c r="N1006" s="227"/>
      <c r="O1006" s="227"/>
      <c r="P1006" s="227"/>
      <c r="Q1006" s="227"/>
      <c r="R1006" s="227"/>
      <c r="S1006" s="227"/>
      <c r="T1006" s="227"/>
      <c r="U1006" s="227"/>
      <c r="V1006" s="227"/>
      <c r="W1006" s="227"/>
      <c r="X1006" s="227"/>
      <c r="Y1006" s="227"/>
      <c r="Z1006" s="227"/>
      <c r="AA1006" s="227"/>
      <c r="AB1006" s="227"/>
      <c r="AC1006" s="227"/>
    </row>
    <row r="1007">
      <c r="A1007" s="227"/>
      <c r="B1007" s="227"/>
      <c r="C1007" s="227"/>
      <c r="D1007" s="227"/>
      <c r="E1007" s="227"/>
      <c r="F1007" s="227"/>
      <c r="G1007" s="227"/>
      <c r="H1007" s="227"/>
      <c r="I1007" s="227"/>
      <c r="J1007" s="227"/>
      <c r="K1007" s="227"/>
      <c r="L1007" s="227"/>
      <c r="M1007" s="227"/>
      <c r="N1007" s="227"/>
      <c r="O1007" s="227"/>
      <c r="P1007" s="227"/>
      <c r="Q1007" s="227"/>
      <c r="R1007" s="227"/>
      <c r="S1007" s="227"/>
      <c r="T1007" s="227"/>
      <c r="U1007" s="227"/>
      <c r="V1007" s="227"/>
      <c r="W1007" s="227"/>
      <c r="X1007" s="227"/>
      <c r="Y1007" s="227"/>
      <c r="Z1007" s="227"/>
      <c r="AA1007" s="227"/>
      <c r="AB1007" s="227"/>
      <c r="AC1007" s="227"/>
    </row>
    <row r="1008">
      <c r="A1008" s="227"/>
      <c r="B1008" s="227"/>
      <c r="C1008" s="227"/>
      <c r="D1008" s="227"/>
      <c r="E1008" s="227"/>
      <c r="F1008" s="227"/>
      <c r="G1008" s="227"/>
      <c r="H1008" s="227"/>
      <c r="I1008" s="227"/>
      <c r="J1008" s="227"/>
      <c r="K1008" s="227"/>
      <c r="L1008" s="227"/>
      <c r="M1008" s="227"/>
      <c r="N1008" s="227"/>
      <c r="O1008" s="227"/>
      <c r="P1008" s="227"/>
      <c r="Q1008" s="227"/>
      <c r="R1008" s="227"/>
      <c r="S1008" s="227"/>
      <c r="T1008" s="227"/>
      <c r="U1008" s="227"/>
      <c r="V1008" s="227"/>
      <c r="W1008" s="227"/>
      <c r="X1008" s="227"/>
      <c r="Y1008" s="227"/>
      <c r="Z1008" s="227"/>
      <c r="AA1008" s="227"/>
      <c r="AB1008" s="227"/>
      <c r="AC1008" s="227"/>
    </row>
    <row r="1009">
      <c r="A1009" s="227"/>
      <c r="B1009" s="227"/>
      <c r="C1009" s="227"/>
      <c r="D1009" s="227"/>
      <c r="E1009" s="227"/>
      <c r="F1009" s="227"/>
      <c r="G1009" s="227"/>
      <c r="H1009" s="227"/>
      <c r="I1009" s="227"/>
      <c r="J1009" s="227"/>
      <c r="K1009" s="227"/>
      <c r="L1009" s="227"/>
      <c r="M1009" s="227"/>
      <c r="N1009" s="227"/>
      <c r="O1009" s="227"/>
      <c r="P1009" s="227"/>
      <c r="Q1009" s="227"/>
      <c r="R1009" s="227"/>
      <c r="S1009" s="227"/>
      <c r="T1009" s="227"/>
      <c r="U1009" s="227"/>
      <c r="V1009" s="227"/>
      <c r="W1009" s="227"/>
      <c r="X1009" s="227"/>
      <c r="Y1009" s="227"/>
      <c r="Z1009" s="227"/>
      <c r="AA1009" s="227"/>
      <c r="AB1009" s="227"/>
      <c r="AC1009" s="227"/>
    </row>
    <row r="1010">
      <c r="A1010" s="227"/>
      <c r="B1010" s="227"/>
      <c r="C1010" s="227"/>
      <c r="D1010" s="227"/>
      <c r="E1010" s="227"/>
      <c r="F1010" s="227"/>
      <c r="G1010" s="227"/>
      <c r="H1010" s="227"/>
      <c r="I1010" s="227"/>
      <c r="J1010" s="227"/>
      <c r="K1010" s="227"/>
      <c r="L1010" s="227"/>
      <c r="M1010" s="227"/>
      <c r="N1010" s="227"/>
      <c r="O1010" s="227"/>
      <c r="P1010" s="227"/>
      <c r="Q1010" s="227"/>
      <c r="R1010" s="227"/>
      <c r="S1010" s="227"/>
      <c r="T1010" s="227"/>
      <c r="U1010" s="227"/>
      <c r="V1010" s="227"/>
      <c r="W1010" s="227"/>
      <c r="X1010" s="227"/>
      <c r="Y1010" s="227"/>
      <c r="Z1010" s="227"/>
      <c r="AA1010" s="227"/>
      <c r="AB1010" s="227"/>
      <c r="AC1010" s="227"/>
    </row>
    <row r="1011">
      <c r="A1011" s="227"/>
      <c r="B1011" s="227"/>
      <c r="C1011" s="227"/>
      <c r="D1011" s="227"/>
      <c r="E1011" s="227"/>
      <c r="F1011" s="227"/>
      <c r="G1011" s="227"/>
      <c r="H1011" s="227"/>
      <c r="I1011" s="227"/>
      <c r="J1011" s="227"/>
      <c r="K1011" s="227"/>
      <c r="L1011" s="227"/>
      <c r="M1011" s="227"/>
      <c r="N1011" s="227"/>
      <c r="O1011" s="227"/>
      <c r="P1011" s="227"/>
      <c r="Q1011" s="227"/>
      <c r="R1011" s="227"/>
      <c r="S1011" s="227"/>
      <c r="T1011" s="227"/>
      <c r="U1011" s="227"/>
      <c r="V1011" s="227"/>
      <c r="W1011" s="227"/>
      <c r="X1011" s="227"/>
      <c r="Y1011" s="227"/>
      <c r="Z1011" s="227"/>
      <c r="AA1011" s="227"/>
      <c r="AB1011" s="227"/>
      <c r="AC1011" s="227"/>
    </row>
    <row r="1012">
      <c r="A1012" s="227"/>
      <c r="B1012" s="227"/>
      <c r="C1012" s="227"/>
      <c r="D1012" s="227"/>
      <c r="E1012" s="227"/>
      <c r="F1012" s="227"/>
      <c r="G1012" s="227"/>
      <c r="H1012" s="227"/>
      <c r="I1012" s="227"/>
      <c r="J1012" s="227"/>
      <c r="K1012" s="227"/>
      <c r="L1012" s="227"/>
      <c r="M1012" s="227"/>
      <c r="N1012" s="227"/>
      <c r="O1012" s="227"/>
      <c r="P1012" s="227"/>
      <c r="Q1012" s="227"/>
      <c r="R1012" s="227"/>
      <c r="S1012" s="227"/>
      <c r="T1012" s="227"/>
      <c r="U1012" s="227"/>
      <c r="V1012" s="227"/>
      <c r="W1012" s="227"/>
      <c r="X1012" s="227"/>
      <c r="Y1012" s="227"/>
      <c r="Z1012" s="227"/>
      <c r="AA1012" s="227"/>
      <c r="AB1012" s="227"/>
      <c r="AC1012" s="227"/>
    </row>
    <row r="1013">
      <c r="A1013" s="227"/>
      <c r="B1013" s="227"/>
      <c r="C1013" s="227"/>
      <c r="D1013" s="227"/>
      <c r="E1013" s="227"/>
      <c r="F1013" s="227"/>
      <c r="G1013" s="227"/>
      <c r="H1013" s="227"/>
      <c r="I1013" s="227"/>
      <c r="J1013" s="227"/>
      <c r="K1013" s="227"/>
      <c r="L1013" s="227"/>
      <c r="M1013" s="227"/>
      <c r="N1013" s="227"/>
      <c r="O1013" s="227"/>
      <c r="P1013" s="227"/>
      <c r="Q1013" s="227"/>
      <c r="R1013" s="227"/>
      <c r="S1013" s="227"/>
      <c r="T1013" s="227"/>
      <c r="U1013" s="227"/>
      <c r="V1013" s="227"/>
      <c r="W1013" s="227"/>
      <c r="X1013" s="227"/>
      <c r="Y1013" s="227"/>
      <c r="Z1013" s="227"/>
      <c r="AA1013" s="227"/>
      <c r="AB1013" s="227"/>
      <c r="AC1013" s="227"/>
    </row>
    <row r="1014">
      <c r="A1014" s="227"/>
      <c r="B1014" s="227"/>
      <c r="C1014" s="227"/>
      <c r="D1014" s="227"/>
      <c r="E1014" s="227"/>
      <c r="F1014" s="227"/>
      <c r="G1014" s="227"/>
      <c r="H1014" s="227"/>
      <c r="I1014" s="227"/>
      <c r="J1014" s="227"/>
      <c r="K1014" s="227"/>
      <c r="L1014" s="227"/>
      <c r="M1014" s="227"/>
      <c r="N1014" s="227"/>
      <c r="O1014" s="227"/>
      <c r="P1014" s="227"/>
      <c r="Q1014" s="227"/>
      <c r="R1014" s="227"/>
      <c r="S1014" s="227"/>
      <c r="T1014" s="227"/>
      <c r="U1014" s="227"/>
      <c r="V1014" s="227"/>
      <c r="W1014" s="227"/>
      <c r="X1014" s="227"/>
      <c r="Y1014" s="227"/>
      <c r="Z1014" s="227"/>
      <c r="AA1014" s="227"/>
      <c r="AB1014" s="227"/>
      <c r="AC1014" s="227"/>
    </row>
    <row r="1015">
      <c r="A1015" s="227"/>
      <c r="B1015" s="227"/>
      <c r="C1015" s="227"/>
      <c r="D1015" s="227"/>
      <c r="E1015" s="227"/>
      <c r="F1015" s="227"/>
      <c r="G1015" s="227"/>
      <c r="H1015" s="227"/>
      <c r="I1015" s="227"/>
      <c r="J1015" s="227"/>
      <c r="K1015" s="227"/>
      <c r="L1015" s="227"/>
      <c r="M1015" s="227"/>
      <c r="N1015" s="227"/>
      <c r="O1015" s="227"/>
      <c r="P1015" s="227"/>
      <c r="Q1015" s="227"/>
      <c r="R1015" s="227"/>
      <c r="S1015" s="227"/>
      <c r="T1015" s="227"/>
      <c r="U1015" s="227"/>
      <c r="V1015" s="227"/>
      <c r="W1015" s="227"/>
      <c r="X1015" s="227"/>
      <c r="Y1015" s="227"/>
      <c r="Z1015" s="227"/>
      <c r="AA1015" s="227"/>
      <c r="AB1015" s="227"/>
      <c r="AC1015" s="227"/>
    </row>
    <row r="1016">
      <c r="A1016" s="227"/>
      <c r="B1016" s="227"/>
      <c r="C1016" s="227"/>
      <c r="D1016" s="227"/>
      <c r="E1016" s="227"/>
      <c r="F1016" s="227"/>
      <c r="G1016" s="227"/>
      <c r="H1016" s="227"/>
      <c r="I1016" s="227"/>
      <c r="J1016" s="227"/>
      <c r="K1016" s="227"/>
      <c r="L1016" s="227"/>
      <c r="M1016" s="227"/>
      <c r="N1016" s="227"/>
      <c r="O1016" s="227"/>
      <c r="P1016" s="227"/>
      <c r="Q1016" s="227"/>
      <c r="R1016" s="227"/>
      <c r="S1016" s="227"/>
      <c r="T1016" s="227"/>
      <c r="U1016" s="227"/>
      <c r="V1016" s="227"/>
      <c r="W1016" s="227"/>
      <c r="X1016" s="227"/>
      <c r="Y1016" s="227"/>
      <c r="Z1016" s="227"/>
      <c r="AA1016" s="227"/>
      <c r="AB1016" s="227"/>
      <c r="AC1016" s="227"/>
    </row>
    <row r="1017">
      <c r="A1017" s="227"/>
      <c r="B1017" s="227"/>
      <c r="C1017" s="227"/>
      <c r="D1017" s="227"/>
      <c r="E1017" s="227"/>
      <c r="F1017" s="227"/>
      <c r="G1017" s="227"/>
      <c r="H1017" s="227"/>
      <c r="I1017" s="227"/>
      <c r="J1017" s="227"/>
      <c r="K1017" s="227"/>
      <c r="L1017" s="227"/>
      <c r="M1017" s="227"/>
      <c r="N1017" s="227"/>
      <c r="O1017" s="227"/>
      <c r="P1017" s="227"/>
      <c r="Q1017" s="227"/>
      <c r="R1017" s="227"/>
      <c r="S1017" s="227"/>
      <c r="T1017" s="227"/>
      <c r="U1017" s="227"/>
      <c r="V1017" s="227"/>
      <c r="W1017" s="227"/>
      <c r="X1017" s="227"/>
      <c r="Y1017" s="227"/>
      <c r="Z1017" s="227"/>
      <c r="AA1017" s="227"/>
      <c r="AB1017" s="227"/>
      <c r="AC1017" s="227"/>
    </row>
    <row r="1018">
      <c r="A1018" s="227"/>
      <c r="B1018" s="227"/>
      <c r="C1018" s="227"/>
      <c r="D1018" s="227"/>
      <c r="E1018" s="227"/>
      <c r="F1018" s="227"/>
      <c r="G1018" s="227"/>
      <c r="H1018" s="227"/>
      <c r="I1018" s="227"/>
      <c r="J1018" s="227"/>
      <c r="K1018" s="227"/>
      <c r="L1018" s="227"/>
      <c r="M1018" s="227"/>
      <c r="N1018" s="227"/>
      <c r="O1018" s="227"/>
      <c r="P1018" s="227"/>
      <c r="Q1018" s="227"/>
      <c r="R1018" s="227"/>
      <c r="S1018" s="227"/>
      <c r="T1018" s="227"/>
      <c r="U1018" s="227"/>
      <c r="V1018" s="227"/>
      <c r="W1018" s="227"/>
      <c r="X1018" s="227"/>
      <c r="Y1018" s="227"/>
      <c r="Z1018" s="227"/>
      <c r="AA1018" s="227"/>
      <c r="AB1018" s="227"/>
      <c r="AC1018" s="227"/>
    </row>
    <row r="1019">
      <c r="A1019" s="227"/>
      <c r="B1019" s="227"/>
      <c r="C1019" s="227"/>
      <c r="D1019" s="227"/>
      <c r="E1019" s="227"/>
      <c r="F1019" s="227"/>
      <c r="G1019" s="227"/>
      <c r="H1019" s="227"/>
      <c r="I1019" s="227"/>
      <c r="J1019" s="227"/>
      <c r="K1019" s="227"/>
      <c r="L1019" s="227"/>
      <c r="M1019" s="227"/>
      <c r="N1019" s="227"/>
      <c r="O1019" s="227"/>
      <c r="P1019" s="227"/>
      <c r="Q1019" s="227"/>
      <c r="R1019" s="227"/>
      <c r="S1019" s="227"/>
      <c r="T1019" s="227"/>
      <c r="U1019" s="227"/>
      <c r="V1019" s="227"/>
      <c r="W1019" s="227"/>
      <c r="X1019" s="227"/>
      <c r="Y1019" s="227"/>
      <c r="Z1019" s="227"/>
      <c r="AA1019" s="227"/>
      <c r="AB1019" s="227"/>
      <c r="AC1019" s="227"/>
    </row>
    <row r="1020">
      <c r="A1020" s="227"/>
      <c r="B1020" s="227"/>
      <c r="C1020" s="227"/>
      <c r="D1020" s="227"/>
      <c r="E1020" s="227"/>
      <c r="F1020" s="227"/>
      <c r="G1020" s="227"/>
      <c r="H1020" s="227"/>
      <c r="I1020" s="227"/>
      <c r="J1020" s="227"/>
      <c r="K1020" s="227"/>
      <c r="L1020" s="227"/>
      <c r="M1020" s="227"/>
      <c r="N1020" s="227"/>
      <c r="O1020" s="227"/>
      <c r="P1020" s="227"/>
      <c r="Q1020" s="227"/>
      <c r="R1020" s="227"/>
      <c r="S1020" s="227"/>
      <c r="T1020" s="227"/>
      <c r="U1020" s="227"/>
      <c r="V1020" s="227"/>
      <c r="W1020" s="227"/>
      <c r="X1020" s="227"/>
      <c r="Y1020" s="227"/>
      <c r="Z1020" s="227"/>
      <c r="AA1020" s="227"/>
      <c r="AB1020" s="227"/>
      <c r="AC1020" s="227"/>
    </row>
    <row r="1021">
      <c r="A1021" s="227"/>
      <c r="B1021" s="227"/>
      <c r="C1021" s="227"/>
      <c r="D1021" s="227"/>
      <c r="E1021" s="227"/>
      <c r="F1021" s="227"/>
      <c r="G1021" s="227"/>
      <c r="H1021" s="227"/>
      <c r="I1021" s="227"/>
      <c r="J1021" s="227"/>
      <c r="L1021" s="227"/>
      <c r="M1021" s="227"/>
      <c r="N1021" s="227"/>
      <c r="O1021" s="227"/>
      <c r="P1021" s="227"/>
      <c r="Q1021" s="227"/>
      <c r="R1021" s="227"/>
      <c r="S1021" s="227"/>
      <c r="T1021" s="227"/>
      <c r="U1021" s="227"/>
      <c r="V1021" s="227"/>
      <c r="W1021" s="227"/>
      <c r="X1021" s="227"/>
      <c r="Y1021" s="227"/>
      <c r="Z1021" s="227"/>
      <c r="AA1021" s="227"/>
      <c r="AB1021" s="227"/>
      <c r="AC1021" s="227"/>
    </row>
    <row r="1022">
      <c r="A1022" s="227"/>
      <c r="B1022" s="227"/>
      <c r="C1022" s="227"/>
      <c r="D1022" s="227"/>
      <c r="E1022" s="227"/>
      <c r="F1022" s="227"/>
      <c r="G1022" s="227"/>
      <c r="H1022" s="227"/>
      <c r="I1022" s="227"/>
      <c r="J1022" s="227"/>
      <c r="L1022" s="227"/>
      <c r="M1022" s="227"/>
      <c r="N1022" s="227"/>
      <c r="O1022" s="227"/>
      <c r="P1022" s="227"/>
      <c r="Q1022" s="227"/>
      <c r="R1022" s="227"/>
      <c r="S1022" s="227"/>
      <c r="T1022" s="227"/>
      <c r="U1022" s="227"/>
      <c r="V1022" s="227"/>
      <c r="W1022" s="227"/>
      <c r="X1022" s="227"/>
      <c r="Y1022" s="227"/>
      <c r="Z1022" s="227"/>
      <c r="AA1022" s="227"/>
      <c r="AB1022" s="227"/>
      <c r="AC1022" s="227"/>
    </row>
    <row r="1023">
      <c r="A1023" s="227"/>
      <c r="B1023" s="227"/>
      <c r="C1023" s="227"/>
      <c r="D1023" s="227"/>
      <c r="E1023" s="227"/>
      <c r="F1023" s="227"/>
      <c r="G1023" s="227"/>
      <c r="H1023" s="227"/>
      <c r="I1023" s="227"/>
      <c r="J1023" s="227"/>
      <c r="L1023" s="227"/>
      <c r="M1023" s="227"/>
      <c r="N1023" s="227"/>
      <c r="O1023" s="227"/>
      <c r="P1023" s="227"/>
      <c r="Q1023" s="227"/>
      <c r="R1023" s="227"/>
      <c r="S1023" s="227"/>
      <c r="T1023" s="227"/>
      <c r="U1023" s="227"/>
      <c r="V1023" s="227"/>
      <c r="W1023" s="227"/>
      <c r="X1023" s="227"/>
      <c r="Y1023" s="227"/>
      <c r="Z1023" s="227"/>
      <c r="AA1023" s="227"/>
      <c r="AB1023" s="227"/>
      <c r="AC1023" s="227"/>
    </row>
    <row r="1024">
      <c r="A1024" s="227"/>
      <c r="B1024" s="227"/>
      <c r="C1024" s="227"/>
      <c r="D1024" s="227"/>
      <c r="E1024" s="227"/>
      <c r="F1024" s="227"/>
      <c r="G1024" s="227"/>
      <c r="H1024" s="227"/>
      <c r="I1024" s="227"/>
      <c r="J1024" s="227"/>
      <c r="L1024" s="227"/>
      <c r="M1024" s="227"/>
      <c r="N1024" s="227"/>
      <c r="O1024" s="227"/>
      <c r="P1024" s="227"/>
      <c r="Q1024" s="227"/>
      <c r="R1024" s="227"/>
      <c r="S1024" s="227"/>
      <c r="T1024" s="227"/>
      <c r="U1024" s="227"/>
      <c r="V1024" s="227"/>
      <c r="W1024" s="227"/>
      <c r="X1024" s="227"/>
      <c r="Y1024" s="227"/>
      <c r="Z1024" s="227"/>
      <c r="AA1024" s="227"/>
      <c r="AB1024" s="227"/>
      <c r="AC1024" s="227"/>
    </row>
    <row r="1025">
      <c r="A1025" s="227"/>
      <c r="B1025" s="227"/>
      <c r="C1025" s="227"/>
      <c r="D1025" s="227"/>
      <c r="E1025" s="227"/>
      <c r="F1025" s="227"/>
      <c r="G1025" s="227"/>
      <c r="H1025" s="227"/>
      <c r="I1025" s="227"/>
      <c r="J1025" s="227"/>
      <c r="L1025" s="227"/>
      <c r="M1025" s="227"/>
      <c r="N1025" s="227"/>
      <c r="O1025" s="227"/>
      <c r="P1025" s="227"/>
      <c r="Q1025" s="227"/>
      <c r="R1025" s="227"/>
      <c r="S1025" s="227"/>
      <c r="T1025" s="227"/>
      <c r="U1025" s="227"/>
      <c r="V1025" s="227"/>
      <c r="W1025" s="227"/>
      <c r="X1025" s="227"/>
      <c r="Y1025" s="227"/>
      <c r="Z1025" s="227"/>
      <c r="AA1025" s="227"/>
      <c r="AB1025" s="227"/>
      <c r="AC1025" s="227"/>
    </row>
    <row r="1026">
      <c r="A1026" s="227"/>
      <c r="B1026" s="227"/>
      <c r="C1026" s="227"/>
      <c r="D1026" s="227"/>
      <c r="E1026" s="227"/>
      <c r="F1026" s="227"/>
      <c r="G1026" s="227"/>
      <c r="H1026" s="227"/>
      <c r="I1026" s="227"/>
      <c r="J1026" s="227"/>
      <c r="L1026" s="227"/>
      <c r="M1026" s="227"/>
      <c r="N1026" s="227"/>
      <c r="O1026" s="227"/>
      <c r="P1026" s="227"/>
      <c r="Q1026" s="227"/>
      <c r="R1026" s="227"/>
      <c r="S1026" s="227"/>
      <c r="T1026" s="227"/>
      <c r="U1026" s="227"/>
      <c r="V1026" s="227"/>
      <c r="W1026" s="227"/>
      <c r="X1026" s="227"/>
      <c r="Y1026" s="227"/>
      <c r="Z1026" s="227"/>
      <c r="AA1026" s="227"/>
      <c r="AB1026" s="227"/>
      <c r="AC1026" s="227"/>
    </row>
  </sheetData>
  <drawing r:id="rId1"/>
</worksheet>
</file>